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2B4CC3FF-E3C5-4363-A5D0-5505850CD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ITOREO ABR26" sheetId="6" r:id="rId1"/>
  </sheets>
  <definedNames>
    <definedName name="_xlnm._FilterDatabase" localSheetId="0" hidden="1">'MONITOREO ABR26'!$A$2:$W$63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3" i="6" l="1"/>
  <c r="O62" i="6"/>
  <c r="O60" i="6"/>
  <c r="O59" i="6"/>
  <c r="O58" i="6"/>
  <c r="O56" i="6"/>
  <c r="O54" i="6"/>
  <c r="O52" i="6"/>
  <c r="O50" i="6"/>
  <c r="O48" i="6"/>
  <c r="O47" i="6"/>
  <c r="O46" i="6"/>
  <c r="O44" i="6"/>
  <c r="O43" i="6"/>
  <c r="O42" i="6"/>
  <c r="O41" i="6"/>
  <c r="L41" i="6"/>
  <c r="O40" i="6"/>
  <c r="L40" i="6"/>
  <c r="O39" i="6"/>
  <c r="L39" i="6"/>
  <c r="O38" i="6"/>
  <c r="L38" i="6"/>
  <c r="O37" i="6"/>
  <c r="L37" i="6"/>
  <c r="O36" i="6"/>
  <c r="L36" i="6"/>
  <c r="L35" i="6"/>
  <c r="O34" i="6"/>
  <c r="L34" i="6"/>
  <c r="O33" i="6"/>
  <c r="L33" i="6"/>
  <c r="O32" i="6"/>
  <c r="L32" i="6"/>
  <c r="O31" i="6"/>
  <c r="L31" i="6"/>
  <c r="O30" i="6"/>
  <c r="L30" i="6"/>
  <c r="O29" i="6"/>
  <c r="L29" i="6"/>
  <c r="O28" i="6"/>
  <c r="L28" i="6"/>
  <c r="O27" i="6"/>
  <c r="L27" i="6"/>
  <c r="O26" i="6"/>
  <c r="L26" i="6"/>
  <c r="O25" i="6"/>
  <c r="L25" i="6"/>
  <c r="O24" i="6"/>
  <c r="L24" i="6"/>
  <c r="O23" i="6"/>
  <c r="L23" i="6"/>
  <c r="O22" i="6"/>
  <c r="L22" i="6"/>
  <c r="O21" i="6"/>
  <c r="L21" i="6"/>
  <c r="O20" i="6"/>
  <c r="L20" i="6"/>
  <c r="O19" i="6"/>
  <c r="L19" i="6"/>
  <c r="O18" i="6"/>
  <c r="L18" i="6"/>
  <c r="O17" i="6"/>
  <c r="L17" i="6"/>
  <c r="O16" i="6"/>
  <c r="L16" i="6"/>
  <c r="O15" i="6"/>
  <c r="L15" i="6"/>
  <c r="O13" i="6"/>
  <c r="L13" i="6"/>
  <c r="O12" i="6"/>
  <c r="L12" i="6"/>
  <c r="O11" i="6"/>
  <c r="L11" i="6"/>
  <c r="O9" i="6"/>
  <c r="L9" i="6"/>
  <c r="O8" i="6"/>
  <c r="L8" i="6"/>
  <c r="O7" i="6"/>
  <c r="L7" i="6"/>
  <c r="O6" i="6"/>
  <c r="L6" i="6"/>
  <c r="O5" i="6"/>
  <c r="L5" i="6"/>
  <c r="O4" i="6"/>
  <c r="L4" i="6"/>
  <c r="O3" i="6"/>
  <c r="L3" i="6"/>
</calcChain>
</file>

<file path=xl/sharedStrings.xml><?xml version="1.0" encoding="utf-8"?>
<sst xmlns="http://schemas.openxmlformats.org/spreadsheetml/2006/main" count="505" uniqueCount="139">
  <si>
    <t>PERIODO</t>
  </si>
  <si>
    <t>MODALIDAD</t>
  </si>
  <si>
    <t>MODELO</t>
  </si>
  <si>
    <t>CURSO</t>
  </si>
  <si>
    <t>SECCION</t>
  </si>
  <si>
    <t>DOCENTE</t>
  </si>
  <si>
    <t>TURNO</t>
  </si>
  <si>
    <t>DIAS</t>
  </si>
  <si>
    <t>HORA INICIO</t>
  </si>
  <si>
    <t>HORA FIN</t>
  </si>
  <si>
    <t>VIRTUAL</t>
  </si>
  <si>
    <t>TRADICIONAL</t>
  </si>
  <si>
    <t>COMPUTACION II</t>
  </si>
  <si>
    <t>PEAD-a</t>
  </si>
  <si>
    <t>CARRASCO HENRY</t>
  </si>
  <si>
    <t>MAÑANA</t>
  </si>
  <si>
    <t>LUN-MIE</t>
  </si>
  <si>
    <t>PEAD-b</t>
  </si>
  <si>
    <t>MAR-JUE</t>
  </si>
  <si>
    <t>PEAD-c</t>
  </si>
  <si>
    <t>MIE</t>
  </si>
  <si>
    <t>COMPUTACION III</t>
  </si>
  <si>
    <t>DELGADO MARIELLA</t>
  </si>
  <si>
    <t>MOGOLLON POLO</t>
  </si>
  <si>
    <t>NOCHE</t>
  </si>
  <si>
    <t>PEAD-d</t>
  </si>
  <si>
    <t>GARCIA LUIS</t>
  </si>
  <si>
    <t>PEAD-e</t>
  </si>
  <si>
    <t>PEAD-f</t>
  </si>
  <si>
    <t>VIER- SAB</t>
  </si>
  <si>
    <t>MIE-VIE</t>
  </si>
  <si>
    <t>COMPUTACION II CIV</t>
  </si>
  <si>
    <t>SANCHEZ CRISTHIAM</t>
  </si>
  <si>
    <t>TARDE</t>
  </si>
  <si>
    <t>LUN</t>
  </si>
  <si>
    <t>COMPUTACION III CIV</t>
  </si>
  <si>
    <t>COMPUTACION III ARQ</t>
  </si>
  <si>
    <t>JUE</t>
  </si>
  <si>
    <t>PROTECH XP</t>
  </si>
  <si>
    <t>WORD 365</t>
  </si>
  <si>
    <t>TULLUME JOSE</t>
  </si>
  <si>
    <t>SALAZAR IVONNE</t>
  </si>
  <si>
    <t>CRIOLLO STEPHANY</t>
  </si>
  <si>
    <t>GUERRERO GINO</t>
  </si>
  <si>
    <t>PEAD-g</t>
  </si>
  <si>
    <t>PEAD-h</t>
  </si>
  <si>
    <t>DIAZ CESAR</t>
  </si>
  <si>
    <t>PEAD-i</t>
  </si>
  <si>
    <t>CISNEROS LEANDRO</t>
  </si>
  <si>
    <t>SAB</t>
  </si>
  <si>
    <t>PEAD-j</t>
  </si>
  <si>
    <t>PEAD-k</t>
  </si>
  <si>
    <t>PEAD-A</t>
  </si>
  <si>
    <t>MAQUEN MIGUEL</t>
  </si>
  <si>
    <t>VIER</t>
  </si>
  <si>
    <t>EXCEL 365</t>
  </si>
  <si>
    <t>SANCHEZ OMAR</t>
  </si>
  <si>
    <t>MEJIA CARLOS</t>
  </si>
  <si>
    <t>DISEÑO CON CANVA</t>
  </si>
  <si>
    <t>SANDOVAL CARMEN</t>
  </si>
  <si>
    <t>CASTAÑEDA EDWARD</t>
  </si>
  <si>
    <t>NIETO NELSON</t>
  </si>
  <si>
    <t>EXCEL ASOCIADO</t>
  </si>
  <si>
    <t>QUESADA JENNIE</t>
  </si>
  <si>
    <t>VIE-SAB</t>
  </si>
  <si>
    <t>WORD ASOCIADO</t>
  </si>
  <si>
    <t>DISEÑO WEB</t>
  </si>
  <si>
    <t>JUE-VIE</t>
  </si>
  <si>
    <t xml:space="preserve">POWER BI </t>
  </si>
  <si>
    <t xml:space="preserve">BIZAGI </t>
  </si>
  <si>
    <t>AUTOCAD 2D</t>
  </si>
  <si>
    <t>SALAZAR JAIRO</t>
  </si>
  <si>
    <t>AUTOCAD 3D</t>
  </si>
  <si>
    <t>MS PROJECT</t>
  </si>
  <si>
    <t>AULA USS</t>
  </si>
  <si>
    <t>https://www.aulauss.edu.pe/course/view.php?id=78736</t>
  </si>
  <si>
    <t>https://www.aulauss.edu.pe/course/view.php?id=78737</t>
  </si>
  <si>
    <t>https://www.aulauss.edu.pe/course/view.php?id=78740</t>
  </si>
  <si>
    <t>https://www.aulauss.edu.pe/course/view.php?id=78741</t>
  </si>
  <si>
    <t>https://www.aulauss.edu.pe/course/view.php?id=78742</t>
  </si>
  <si>
    <t>https://www.aulauss.edu.pe/course/view.php?id=78743</t>
  </si>
  <si>
    <t>https://www.aulauss.edu.pe/course/view.php?id=78732</t>
  </si>
  <si>
    <t>https://www.aulauss.edu.pe/course/view.php?id=78746</t>
  </si>
  <si>
    <t>https://www.aulauss.edu.pe/course/view.php?id=78739</t>
  </si>
  <si>
    <t>https://www.aulauss.edu.pe/course/view.php?id=78700</t>
  </si>
  <si>
    <t>https://www.aulauss.edu.pe/course/view.php?id=78701</t>
  </si>
  <si>
    <t>https://www.aulauss.edu.pe/course/view.php?id=78702</t>
  </si>
  <si>
    <t>https://www.aulauss.edu.pe/course/view.php?id=78703</t>
  </si>
  <si>
    <t>https://www.aulauss.edu.pe/course/view.php?id=78704</t>
  </si>
  <si>
    <t>https://www.aulauss.edu.pe/course/view.php?id=78705</t>
  </si>
  <si>
    <t>https://www.aulauss.edu.pe/course/view.php?id=78706</t>
  </si>
  <si>
    <t>https://www.aulauss.edu.pe/course/view.php?id=78727</t>
  </si>
  <si>
    <t>https://www.aulauss.edu.pe/course/view.php?id=78728</t>
  </si>
  <si>
    <t>https://www.aulauss.edu.pe/course/view.php?id=78771</t>
  </si>
  <si>
    <t>https://www.aulauss.edu.pe/course/view.php?id=78772</t>
  </si>
  <si>
    <t>https://www.aulauss.edu.pe/course/view.php?id=78694</t>
  </si>
  <si>
    <t>https://www.aulauss.edu.pe/course/view.php?id=78707</t>
  </si>
  <si>
    <t>https://www.aulauss.edu.pe/course/view.php?id=78708</t>
  </si>
  <si>
    <t>https://www.aulauss.edu.pe/course/view.php?id=78709</t>
  </si>
  <si>
    <t>https://www.aulauss.edu.pe/course/view.php?id=78710</t>
  </si>
  <si>
    <t>https://www.aulauss.edu.pe/course/view.php?id=78711</t>
  </si>
  <si>
    <t>https://www.aulauss.edu.pe/course/view.php?id=78729</t>
  </si>
  <si>
    <t>https://www.aulauss.edu.pe/course/view.php?id=78773</t>
  </si>
  <si>
    <t>https://www.aulauss.edu.pe/course/view.php?id=78712</t>
  </si>
  <si>
    <t>https://www.aulauss.edu.pe/course/view.php?id=78713</t>
  </si>
  <si>
    <t>https://www.aulauss.edu.pe/course/view.php?id=78714</t>
  </si>
  <si>
    <t>https://www.aulauss.edu.pe/course/view.php?id=78715</t>
  </si>
  <si>
    <t>https://www.aulauss.edu.pe/course/view.php?id=78716</t>
  </si>
  <si>
    <t>https://www.aulauss.edu.pe/course/view.php?id=78717</t>
  </si>
  <si>
    <t>https://www.aulauss.edu.pe/course/view.php?id=78730</t>
  </si>
  <si>
    <t>https://www.aulauss.edu.pe/course/view.php?id=78731</t>
  </si>
  <si>
    <t>https://www.aulauss.edu.pe/course/view.php?id=78695</t>
  </si>
  <si>
    <t>https://www.aulauss.edu.pe/course/view.php?id=78718</t>
  </si>
  <si>
    <t>https://www.aulauss.edu.pe/course/view.php?id=78719</t>
  </si>
  <si>
    <t>https://www.aulauss.edu.pe/course/view.php?id=78720</t>
  </si>
  <si>
    <t>https://www.aulauss.edu.pe/course/view.php?id=78726</t>
  </si>
  <si>
    <t>https://www.aulauss.edu.pe/course/view.php?id=78722</t>
  </si>
  <si>
    <t>https://www.aulauss.edu.pe/course/view.php?id=78725</t>
  </si>
  <si>
    <t>https://www.aulauss.edu.pe/course/view.php?id=78724</t>
  </si>
  <si>
    <t>https://www.aulauss.edu.pe/course/view.php?id=78721</t>
  </si>
  <si>
    <t>https://www.aulauss.edu.pe/course/view.php?id=78723</t>
  </si>
  <si>
    <t>https://www.aulauss.edu.pe/course/view.php?id=78693</t>
  </si>
  <si>
    <t>https://www.aulauss.edu.pe/course/view.php?id=78692</t>
  </si>
  <si>
    <t>TOLERANCIA PARA INICIO DE CLASES MAXIMO</t>
  </si>
  <si>
    <t>00:10:00</t>
  </si>
  <si>
    <t>CICLO</t>
  </si>
  <si>
    <t>SESION</t>
  </si>
  <si>
    <t>DIA</t>
  </si>
  <si>
    <t>INICIO SESION 10 a 5 MINUTOS ANTES</t>
  </si>
  <si>
    <t>TIEMPO DE ESPERA ANTES DE INICIAR LA CLASE</t>
  </si>
  <si>
    <t>INICIO REAL CLASE</t>
  </si>
  <si>
    <t>FINALIZA LA CLASE (ZOOM)</t>
  </si>
  <si>
    <t>HORAS PROGRAMADAS</t>
  </si>
  <si>
    <t xml:space="preserve">TIEMPO EFECTIVO DICTADO </t>
  </si>
  <si>
    <t>EFICIENCIA</t>
  </si>
  <si>
    <t xml:space="preserve">OBSERVACIÓN </t>
  </si>
  <si>
    <t>RECOMENDACIONES</t>
  </si>
  <si>
    <t>2026 I: ABR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</si>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</sst>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"/>
    <numFmt numFmtId="165" formatCode="dd\-mm\-yyyy"/>
    <numFmt numFmtId="166" formatCode="d\ mmm"/>
  </numFmts>
  <fonts count="2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</font>
    <font>
      <sz val="10"/>
      <color rgb="FFFF0000"/>
      <name val="Arial"/>
      <scheme val="minor"/>
    </font>
    <font>
      <sz val="10"/>
      <color rgb="FFFF0000"/>
      <name val="Arial"/>
    </font>
    <font>
      <sz val="10"/>
      <color rgb="FFB10202"/>
      <name val="Arial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Arial"/>
      <scheme val="minor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rgb="FF434343"/>
      <name val="Arial"/>
    </font>
    <font>
      <sz val="10"/>
      <color rgb="FF434343"/>
      <name val="Arial"/>
      <scheme val="minor"/>
    </font>
    <font>
      <b/>
      <sz val="10"/>
      <color theme="1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3" fontId="9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3" fontId="12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3" fontId="15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3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166" fontId="3" fillId="4" borderId="0" xfId="0" applyNumberFormat="1" applyFont="1" applyFill="1" applyAlignment="1">
      <alignment horizontal="center" vertical="center"/>
    </xf>
    <xf numFmtId="21" fontId="4" fillId="4" borderId="0" xfId="0" applyNumberFormat="1" applyFont="1" applyFill="1" applyAlignment="1">
      <alignment horizontal="center" vertical="center"/>
    </xf>
    <xf numFmtId="21" fontId="4" fillId="0" borderId="0" xfId="0" applyNumberFormat="1" applyFont="1" applyAlignment="1">
      <alignment horizontal="center" vertical="center"/>
    </xf>
    <xf numFmtId="9" fontId="4" fillId="4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21" fontId="4" fillId="3" borderId="0" xfId="0" applyNumberFormat="1" applyFont="1" applyFill="1" applyAlignment="1">
      <alignment horizontal="center" vertical="center"/>
    </xf>
    <xf numFmtId="9" fontId="4" fillId="3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21" fontId="4" fillId="4" borderId="0" xfId="0" applyNumberFormat="1" applyFont="1" applyFill="1" applyAlignment="1">
      <alignment horizontal="center" vertical="center"/>
    </xf>
    <xf numFmtId="9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1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6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6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20" fontId="2" fillId="0" borderId="0" xfId="0" applyNumberFormat="1" applyFont="1" applyAlignment="1"/>
    <xf numFmtId="9" fontId="4" fillId="4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3" fontId="17" fillId="2" borderId="0" xfId="0" applyNumberFormat="1" applyFont="1" applyFill="1" applyAlignment="1">
      <alignment horizontal="center"/>
    </xf>
    <xf numFmtId="3" fontId="17" fillId="0" borderId="0" xfId="0" applyNumberFormat="1" applyFont="1" applyAlignment="1">
      <alignment horizontal="center"/>
    </xf>
    <xf numFmtId="3" fontId="24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6C8E3"/>
          <bgColor rgb="FFD6C8E3"/>
        </patternFill>
      </fill>
    </dxf>
    <dxf>
      <fill>
        <patternFill patternType="solid">
          <fgColor rgb="FF5A2290"/>
          <bgColor rgb="FF5A2290"/>
        </patternFill>
      </fill>
    </dxf>
    <dxf>
      <border>
        <left style="thin">
          <color rgb="FF5A2290"/>
        </left>
        <right style="thin">
          <color rgb="FF5A2290"/>
        </right>
        <top style="thin">
          <color rgb="FF5A2290"/>
        </top>
        <bottom style="thin">
          <color rgb="FF5A2290"/>
        </bottom>
      </border>
    </dxf>
  </dxfs>
  <tableStyles count="9">
    <tableStyle name="202601 ABR-style" pivot="0" count="5" xr9:uid="{00000000-0011-0000-FFFF-FFFF00000000}">
      <tableStyleElement type="wholeTable" size="0" dxfId="64"/>
      <tableStyleElement type="headerRow" dxfId="63"/>
      <tableStyleElement type="totalRow" dxfId="62"/>
      <tableStyleElement type="firstRowStripe" dxfId="61"/>
      <tableStyleElement type="secondRowStripe" dxfId="60"/>
    </tableStyle>
    <tableStyle name="AULAS ABR26-style" pivot="0" count="4" xr9:uid="{00000000-0011-0000-FFFF-FFFF01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AULAS OFF ABR26-style" pivot="0" count="5" xr9:uid="{00000000-0011-0000-FFFF-FFFF02000000}">
      <tableStyleElement type="wholeTable" size="0" dxfId="55"/>
      <tableStyleElement type="headerRow" dxfId="54"/>
      <tableStyleElement type="totalRow" dxfId="53"/>
      <tableStyleElement type="firstRowStripe" dxfId="52"/>
      <tableStyleElement type="secondRowStripe" dxfId="51"/>
    </tableStyle>
    <tableStyle name="AULAS OFF ABR26-style 2" pivot="0" count="4" xr9:uid="{00000000-0011-0000-FFFF-FFFF03000000}">
      <tableStyleElement type="wholeTable" size="0" dxfId="50"/>
      <tableStyleElement type="headerRow" dxfId="49"/>
      <tableStyleElement type="firstRowStripe" dxfId="48"/>
      <tableStyleElement type="secondRowStripe" dxfId="47"/>
    </tableStyle>
    <tableStyle name="SEGUIMIENTO-style" pivot="0" count="5" xr9:uid="{00000000-0011-0000-FFFF-FFFF04000000}">
      <tableStyleElement type="wholeTable" size="0" dxfId="46"/>
      <tableStyleElement type="headerRow" dxfId="45"/>
      <tableStyleElement type="totalRow" dxfId="44"/>
      <tableStyleElement type="firstRowStripe" dxfId="43"/>
      <tableStyleElement type="secondRowStripe" dxfId="42"/>
    </tableStyle>
    <tableStyle name="INDICADORES ABR26-style" pivot="0" count="5" xr9:uid="{00000000-0011-0000-FFFF-FFFF05000000}">
      <tableStyleElement type="wholeTable" size="0" dxfId="41"/>
      <tableStyleElement type="headerRow" dxfId="40"/>
      <tableStyleElement type="totalRow" dxfId="39"/>
      <tableStyleElement type="firstRowStripe" dxfId="38"/>
      <tableStyleElement type="secondRowStripe" dxfId="37"/>
    </tableStyle>
    <tableStyle name="MONITOREO ABR26-style" pivot="0" count="5" xr9:uid="{00000000-0011-0000-FFFF-FFFF06000000}">
      <tableStyleElement type="wholeTable" size="0" dxfId="36"/>
      <tableStyleElement type="headerRow" dxfId="35"/>
      <tableStyleElement type="totalRow" dxfId="34"/>
      <tableStyleElement type="firstRowStripe" dxfId="33"/>
      <tableStyleElement type="secondRowStripe" dxfId="32"/>
    </tableStyle>
    <tableStyle name="LINK ENCUENTAS-style" pivot="0" count="4" xr9:uid="{00000000-0011-0000-FFFF-FFFF07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Copia de 202501 JUN-style" pivot="0" count="5" xr9:uid="{00000000-0011-0000-FFFF-FFFF08000000}">
      <tableStyleElement type="wholeTable" size="0" dxfId="27"/>
      <tableStyleElement type="headerRow" dxfId="26"/>
      <tableStyleElement type="total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MIGUEL ANGEL MAQUEN MUJICA" id="{b541ad3a-7f64-47cb-9f6a-1d7a4b058af9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GOSTO_2" displayName="AGOSTO_2" ref="A2:W63" totalsRowCount="1">
  <autoFilter ref="A2:W62" xr:uid="{00000000-0009-0000-0100-000007000000}"/>
  <tableColumns count="23">
    <tableColumn id="1" xr3:uid="{00000000-0010-0000-0600-000001000000}" name="PERIODO"/>
    <tableColumn id="2" xr3:uid="{00000000-0010-0000-0600-000002000000}" name="CICLO" totalsRowDxfId="20"/>
    <tableColumn id="3" xr3:uid="{00000000-0010-0000-0600-000003000000}" name="MODELO"/>
    <tableColumn id="4" xr3:uid="{00000000-0010-0000-0600-000004000000}" name="MODALIDAD" totalsRowDxfId="19"/>
    <tableColumn id="5" xr3:uid="{00000000-0010-0000-0600-000005000000}" name="CURSO" totalsRowDxfId="18"/>
    <tableColumn id="6" xr3:uid="{00000000-0010-0000-0600-000006000000}" name="SECCION" totalsRowDxfId="17"/>
    <tableColumn id="7" xr3:uid="{00000000-0010-0000-0600-000007000000}" name="AULA USS" totalsRowDxfId="16"/>
    <tableColumn id="8" xr3:uid="{00000000-0010-0000-0600-000008000000}" name="SESION" totalsRowFunction="custom" totalsRowDxfId="15">
      <totalsRowFormula>SUM(AGOSTO_2[SESION])</totalsRowFormula>
    </tableColumn>
    <tableColumn id="9" xr3:uid="{00000000-0010-0000-0600-000009000000}" name="DIA" totalsRowDxfId="14"/>
    <tableColumn id="10" xr3:uid="{00000000-0010-0000-0600-00000A000000}" name="INICIO SESION 10 a 5 MINUTOS ANTES" totalsRowDxfId="13"/>
    <tableColumn id="11" xr3:uid="{00000000-0010-0000-0600-00000B000000}" name="TIEMPO DE ESPERA ANTES DE INICIAR LA CLASE" totalsRowDxfId="12"/>
    <tableColumn id="12" xr3:uid="{00000000-0010-0000-0600-00000C000000}" name="INICIO REAL CLASE" totalsRowDxfId="11"/>
    <tableColumn id="13" xr3:uid="{00000000-0010-0000-0600-00000D000000}" name="FINALIZA LA CLASE (ZOOM)" totalsRowDxfId="10"/>
    <tableColumn id="14" xr3:uid="{00000000-0010-0000-0600-00000E000000}" name="HORAS PROGRAMADAS" totalsRowDxfId="9"/>
    <tableColumn id="15" xr3:uid="{00000000-0010-0000-0600-00000F000000}" name="TIEMPO EFECTIVO DICTADO " totalsRowDxfId="8"/>
    <tableColumn id="16" xr3:uid="{00000000-0010-0000-0600-000010000000}" name="EFICIENCIA" totalsRowDxfId="7"/>
    <tableColumn id="17" xr3:uid="{00000000-0010-0000-0600-000011000000}" name="DOCENTE" totalsRowDxfId="6"/>
    <tableColumn id="18" xr3:uid="{00000000-0010-0000-0600-000012000000}" name="TURNO" totalsRowDxfId="5"/>
    <tableColumn id="19" xr3:uid="{00000000-0010-0000-0600-000013000000}" name="DIAS" totalsRowDxfId="4"/>
    <tableColumn id="20" xr3:uid="{00000000-0010-0000-0600-000014000000}" name="HORA INICIO" totalsRowDxfId="3"/>
    <tableColumn id="21" xr3:uid="{00000000-0010-0000-0600-000015000000}" name="HORA FIN" totalsRowDxfId="2"/>
    <tableColumn id="22" xr3:uid="{00000000-0010-0000-0600-000016000000}" name="OBSERVACIÓN " totalsRowDxfId="1"/>
    <tableColumn id="23" xr3:uid="{00000000-0010-0000-0600-000017000000}" name="RECOMENDACIONES" totalsRowDxfId="0"/>
  </tableColumns>
  <tableStyleInfo name="MONITOREO ABR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ulauss.edu.pe/course/view.php?id=78703" TargetMode="External"/><Relationship Id="rId18" Type="http://schemas.openxmlformats.org/officeDocument/2006/relationships/hyperlink" Target="https://www.aulauss.edu.pe/course/view.php?id=78728" TargetMode="External"/><Relationship Id="rId26" Type="http://schemas.openxmlformats.org/officeDocument/2006/relationships/hyperlink" Target="https://www.aulauss.edu.pe/course/view.php?id=78711" TargetMode="External"/><Relationship Id="rId39" Type="http://schemas.openxmlformats.org/officeDocument/2006/relationships/hyperlink" Target="https://www.aulauss.edu.pe/course/view.php?id=78719" TargetMode="External"/><Relationship Id="rId21" Type="http://schemas.openxmlformats.org/officeDocument/2006/relationships/hyperlink" Target="https://www.aulauss.edu.pe/course/view.php?id=78694" TargetMode="External"/><Relationship Id="rId34" Type="http://schemas.openxmlformats.org/officeDocument/2006/relationships/hyperlink" Target="https://www.aulauss.edu.pe/course/view.php?id=78717" TargetMode="External"/><Relationship Id="rId42" Type="http://schemas.openxmlformats.org/officeDocument/2006/relationships/hyperlink" Target="https://www.aulauss.edu.pe/course/view.php?id=78722" TargetMode="External"/><Relationship Id="rId47" Type="http://schemas.openxmlformats.org/officeDocument/2006/relationships/hyperlink" Target="https://www.aulauss.edu.pe/course/view.php?id=78693" TargetMode="External"/><Relationship Id="rId7" Type="http://schemas.openxmlformats.org/officeDocument/2006/relationships/hyperlink" Target="https://www.aulauss.edu.pe/course/view.php?id=78732" TargetMode="External"/><Relationship Id="rId2" Type="http://schemas.openxmlformats.org/officeDocument/2006/relationships/hyperlink" Target="https://www.aulauss.edu.pe/course/view.php?id=78737" TargetMode="External"/><Relationship Id="rId16" Type="http://schemas.openxmlformats.org/officeDocument/2006/relationships/hyperlink" Target="https://www.aulauss.edu.pe/course/view.php?id=78706" TargetMode="External"/><Relationship Id="rId29" Type="http://schemas.openxmlformats.org/officeDocument/2006/relationships/hyperlink" Target="https://www.aulauss.edu.pe/course/view.php?id=78712" TargetMode="External"/><Relationship Id="rId11" Type="http://schemas.openxmlformats.org/officeDocument/2006/relationships/hyperlink" Target="https://www.aulauss.edu.pe/course/view.php?id=78701" TargetMode="External"/><Relationship Id="rId24" Type="http://schemas.openxmlformats.org/officeDocument/2006/relationships/hyperlink" Target="https://www.aulauss.edu.pe/course/view.php?id=78709" TargetMode="External"/><Relationship Id="rId32" Type="http://schemas.openxmlformats.org/officeDocument/2006/relationships/hyperlink" Target="https://www.aulauss.edu.pe/course/view.php?id=78715" TargetMode="External"/><Relationship Id="rId37" Type="http://schemas.openxmlformats.org/officeDocument/2006/relationships/hyperlink" Target="https://www.aulauss.edu.pe/course/view.php?id=78695" TargetMode="External"/><Relationship Id="rId40" Type="http://schemas.openxmlformats.org/officeDocument/2006/relationships/hyperlink" Target="https://www.aulauss.edu.pe/course/view.php?id=78720" TargetMode="External"/><Relationship Id="rId45" Type="http://schemas.openxmlformats.org/officeDocument/2006/relationships/hyperlink" Target="https://www.aulauss.edu.pe/course/view.php?id=78721" TargetMode="External"/><Relationship Id="rId5" Type="http://schemas.openxmlformats.org/officeDocument/2006/relationships/hyperlink" Target="https://www.aulauss.edu.pe/course/view.php?id=78742" TargetMode="External"/><Relationship Id="rId15" Type="http://schemas.openxmlformats.org/officeDocument/2006/relationships/hyperlink" Target="https://www.aulauss.edu.pe/course/view.php?id=78705" TargetMode="External"/><Relationship Id="rId23" Type="http://schemas.openxmlformats.org/officeDocument/2006/relationships/hyperlink" Target="https://www.aulauss.edu.pe/course/view.php?id=78708" TargetMode="External"/><Relationship Id="rId28" Type="http://schemas.openxmlformats.org/officeDocument/2006/relationships/hyperlink" Target="https://www.aulauss.edu.pe/course/view.php?id=78773" TargetMode="External"/><Relationship Id="rId36" Type="http://schemas.openxmlformats.org/officeDocument/2006/relationships/hyperlink" Target="https://www.aulauss.edu.pe/course/view.php?id=78731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www.aulauss.edu.pe/course/view.php?id=78700" TargetMode="External"/><Relationship Id="rId19" Type="http://schemas.openxmlformats.org/officeDocument/2006/relationships/hyperlink" Target="https://www.aulauss.edu.pe/course/view.php?id=78771" TargetMode="External"/><Relationship Id="rId31" Type="http://schemas.openxmlformats.org/officeDocument/2006/relationships/hyperlink" Target="https://www.aulauss.edu.pe/course/view.php?id=78714" TargetMode="External"/><Relationship Id="rId44" Type="http://schemas.openxmlformats.org/officeDocument/2006/relationships/hyperlink" Target="https://www.aulauss.edu.pe/course/view.php?id=78724" TargetMode="External"/><Relationship Id="rId4" Type="http://schemas.openxmlformats.org/officeDocument/2006/relationships/hyperlink" Target="https://www.aulauss.edu.pe/course/view.php?id=78741" TargetMode="External"/><Relationship Id="rId9" Type="http://schemas.openxmlformats.org/officeDocument/2006/relationships/hyperlink" Target="https://www.aulauss.edu.pe/course/view.php?id=78739" TargetMode="External"/><Relationship Id="rId14" Type="http://schemas.openxmlformats.org/officeDocument/2006/relationships/hyperlink" Target="https://www.aulauss.edu.pe/course/view.php?id=78704" TargetMode="External"/><Relationship Id="rId22" Type="http://schemas.openxmlformats.org/officeDocument/2006/relationships/hyperlink" Target="https://www.aulauss.edu.pe/course/view.php?id=78707" TargetMode="External"/><Relationship Id="rId27" Type="http://schemas.openxmlformats.org/officeDocument/2006/relationships/hyperlink" Target="https://www.aulauss.edu.pe/course/view.php?id=78729" TargetMode="External"/><Relationship Id="rId30" Type="http://schemas.openxmlformats.org/officeDocument/2006/relationships/hyperlink" Target="https://www.aulauss.edu.pe/course/view.php?id=78713" TargetMode="External"/><Relationship Id="rId35" Type="http://schemas.openxmlformats.org/officeDocument/2006/relationships/hyperlink" Target="https://www.aulauss.edu.pe/course/view.php?id=78730" TargetMode="External"/><Relationship Id="rId43" Type="http://schemas.openxmlformats.org/officeDocument/2006/relationships/hyperlink" Target="https://www.aulauss.edu.pe/course/view.php?id=78725" TargetMode="External"/><Relationship Id="rId48" Type="http://schemas.openxmlformats.org/officeDocument/2006/relationships/hyperlink" Target="https://www.aulauss.edu.pe/course/view.php?id=78692" TargetMode="External"/><Relationship Id="rId8" Type="http://schemas.openxmlformats.org/officeDocument/2006/relationships/hyperlink" Target="https://www.aulauss.edu.pe/course/view.php?id=78746" TargetMode="External"/><Relationship Id="rId3" Type="http://schemas.openxmlformats.org/officeDocument/2006/relationships/hyperlink" Target="https://www.aulauss.edu.pe/course/view.php?id=78740" TargetMode="External"/><Relationship Id="rId12" Type="http://schemas.openxmlformats.org/officeDocument/2006/relationships/hyperlink" Target="https://www.aulauss.edu.pe/course/view.php?id=78702" TargetMode="External"/><Relationship Id="rId17" Type="http://schemas.openxmlformats.org/officeDocument/2006/relationships/hyperlink" Target="https://www.aulauss.edu.pe/course/view.php?id=78727" TargetMode="External"/><Relationship Id="rId25" Type="http://schemas.openxmlformats.org/officeDocument/2006/relationships/hyperlink" Target="https://www.aulauss.edu.pe/course/view.php?id=78710" TargetMode="External"/><Relationship Id="rId33" Type="http://schemas.openxmlformats.org/officeDocument/2006/relationships/hyperlink" Target="https://www.aulauss.edu.pe/course/view.php?id=78716" TargetMode="External"/><Relationship Id="rId38" Type="http://schemas.openxmlformats.org/officeDocument/2006/relationships/hyperlink" Target="https://www.aulauss.edu.pe/course/view.php?id=78718" TargetMode="External"/><Relationship Id="rId46" Type="http://schemas.openxmlformats.org/officeDocument/2006/relationships/hyperlink" Target="https://www.aulauss.edu.pe/course/view.php?id=78723" TargetMode="External"/><Relationship Id="rId20" Type="http://schemas.openxmlformats.org/officeDocument/2006/relationships/hyperlink" Target="https://www.aulauss.edu.pe/course/view.php?id=78772" TargetMode="External"/><Relationship Id="rId41" Type="http://schemas.openxmlformats.org/officeDocument/2006/relationships/hyperlink" Target="https://www.aulauss.edu.pe/course/view.php?id=78726" TargetMode="External"/><Relationship Id="rId1" Type="http://schemas.openxmlformats.org/officeDocument/2006/relationships/hyperlink" Target="https://www.aulauss.edu.pe/course/view.php?id=78736" TargetMode="External"/><Relationship Id="rId6" Type="http://schemas.openxmlformats.org/officeDocument/2006/relationships/hyperlink" Target="https://www.aulauss.edu.pe/course/view.php?id=78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W1022"/>
  <sheetViews>
    <sheetView tabSelected="1" topLeftCell="M1" workbookViewId="0">
      <pane ySplit="2" topLeftCell="A51" activePane="bottomLeft" state="frozen"/>
      <selection pane="bottomLeft" activeCell="Q56" sqref="Q56"/>
    </sheetView>
  </sheetViews>
  <sheetFormatPr baseColWidth="10" defaultColWidth="12.5703125" defaultRowHeight="15.75" customHeight="1" x14ac:dyDescent="0.2"/>
  <cols>
    <col min="1" max="1" width="15.7109375" customWidth="1"/>
    <col min="2" max="2" width="19.7109375" customWidth="1"/>
    <col min="3" max="3" width="16.42578125" customWidth="1"/>
    <col min="4" max="4" width="18.28515625" customWidth="1"/>
    <col min="5" max="5" width="22.7109375" customWidth="1"/>
    <col min="6" max="6" width="12.5703125" customWidth="1"/>
    <col min="7" max="7" width="43.5703125" customWidth="1"/>
    <col min="8" max="8" width="12.28515625" customWidth="1"/>
    <col min="9" max="9" width="12.140625" customWidth="1"/>
    <col min="10" max="10" width="16.85546875" customWidth="1"/>
    <col min="11" max="13" width="19.5703125" customWidth="1"/>
    <col min="14" max="14" width="23.85546875" customWidth="1"/>
    <col min="15" max="15" width="22.85546875" customWidth="1"/>
    <col min="16" max="16" width="15.7109375" customWidth="1"/>
    <col min="17" max="17" width="28.5703125" customWidth="1"/>
    <col min="18" max="18" width="27.42578125" customWidth="1"/>
    <col min="19" max="19" width="12.85546875" customWidth="1"/>
    <col min="20" max="20" width="15.28515625" customWidth="1"/>
    <col min="21" max="21" width="13" customWidth="1"/>
    <col min="22" max="22" width="45.5703125" customWidth="1"/>
    <col min="23" max="23" width="30.85546875" customWidth="1"/>
  </cols>
  <sheetData>
    <row r="1" spans="1:23" ht="38.25" x14ac:dyDescent="0.2">
      <c r="A1" s="1"/>
      <c r="B1" s="2"/>
      <c r="C1" s="1"/>
      <c r="D1" s="47"/>
      <c r="E1" s="2"/>
      <c r="F1" s="2"/>
      <c r="G1" s="2"/>
      <c r="H1" s="2"/>
      <c r="I1" s="2"/>
      <c r="J1" s="2"/>
      <c r="K1" s="2"/>
      <c r="L1" s="2"/>
      <c r="M1" s="2"/>
      <c r="N1" s="48" t="s">
        <v>123</v>
      </c>
      <c r="O1" s="2" t="s">
        <v>124</v>
      </c>
      <c r="P1" s="2"/>
      <c r="Q1" s="2"/>
      <c r="R1" s="2"/>
      <c r="S1" s="2"/>
      <c r="T1" s="2"/>
      <c r="U1" s="2"/>
      <c r="V1" s="2"/>
      <c r="W1" s="2"/>
    </row>
    <row r="2" spans="1:23" ht="22.5" customHeight="1" x14ac:dyDescent="0.2">
      <c r="A2" s="3" t="s">
        <v>0</v>
      </c>
      <c r="B2" s="4" t="s">
        <v>125</v>
      </c>
      <c r="C2" s="3" t="s">
        <v>2</v>
      </c>
      <c r="D2" s="3" t="s">
        <v>1</v>
      </c>
      <c r="E2" s="4" t="s">
        <v>3</v>
      </c>
      <c r="F2" s="4" t="s">
        <v>4</v>
      </c>
      <c r="G2" s="4" t="s">
        <v>74</v>
      </c>
      <c r="H2" s="4" t="s">
        <v>126</v>
      </c>
      <c r="I2" s="4" t="s">
        <v>127</v>
      </c>
      <c r="J2" s="44" t="s">
        <v>128</v>
      </c>
      <c r="K2" s="44" t="s">
        <v>129</v>
      </c>
      <c r="L2" s="44" t="s">
        <v>130</v>
      </c>
      <c r="M2" s="44" t="s">
        <v>131</v>
      </c>
      <c r="N2" s="4" t="s">
        <v>132</v>
      </c>
      <c r="O2" s="44" t="s">
        <v>133</v>
      </c>
      <c r="P2" s="4" t="s">
        <v>134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135</v>
      </c>
      <c r="W2" s="4" t="s">
        <v>136</v>
      </c>
    </row>
    <row r="3" spans="1:23" ht="22.5" customHeight="1" x14ac:dyDescent="0.2">
      <c r="A3" s="6" t="s">
        <v>137</v>
      </c>
      <c r="B3" s="39" t="s">
        <v>138</v>
      </c>
      <c r="C3" s="40" t="s">
        <v>11</v>
      </c>
      <c r="D3" s="39" t="s">
        <v>10</v>
      </c>
      <c r="E3" s="5" t="s">
        <v>12</v>
      </c>
      <c r="F3" s="5" t="s">
        <v>13</v>
      </c>
      <c r="G3" s="24" t="s">
        <v>75</v>
      </c>
      <c r="H3" s="41">
        <v>1</v>
      </c>
      <c r="I3" s="49"/>
      <c r="J3" s="25"/>
      <c r="K3" s="50"/>
      <c r="L3" s="50" t="str">
        <f t="shared" ref="L3:L9" si="0">IF(K3="","",TRUNC((T3+K3)*1440)/1440)</f>
        <v/>
      </c>
      <c r="M3" s="50"/>
      <c r="N3" s="50">
        <v>0.125</v>
      </c>
      <c r="O3" s="51">
        <f t="shared" ref="O3:O9" si="1">M3-K3</f>
        <v>0</v>
      </c>
      <c r="P3" s="52"/>
      <c r="Q3" s="7" t="s">
        <v>14</v>
      </c>
      <c r="R3" s="8" t="s">
        <v>15</v>
      </c>
      <c r="S3" s="5" t="s">
        <v>16</v>
      </c>
      <c r="T3" s="16"/>
      <c r="U3" s="5"/>
      <c r="V3" s="16"/>
      <c r="W3" s="16"/>
    </row>
    <row r="4" spans="1:23" ht="22.5" customHeight="1" x14ac:dyDescent="0.2">
      <c r="A4" s="11" t="s">
        <v>137</v>
      </c>
      <c r="B4" s="10" t="s">
        <v>138</v>
      </c>
      <c r="C4" s="11" t="s">
        <v>11</v>
      </c>
      <c r="D4" s="10" t="s">
        <v>10</v>
      </c>
      <c r="E4" s="9" t="s">
        <v>12</v>
      </c>
      <c r="F4" s="9" t="s">
        <v>17</v>
      </c>
      <c r="G4" s="26" t="s">
        <v>76</v>
      </c>
      <c r="H4" s="12">
        <v>1</v>
      </c>
      <c r="I4" s="53"/>
      <c r="J4" s="14"/>
      <c r="K4" s="54"/>
      <c r="L4" s="54" t="str">
        <f t="shared" si="0"/>
        <v/>
      </c>
      <c r="M4" s="54"/>
      <c r="N4" s="54">
        <v>0.125</v>
      </c>
      <c r="O4" s="54">
        <f t="shared" si="1"/>
        <v>0</v>
      </c>
      <c r="P4" s="55"/>
      <c r="Q4" s="13" t="s">
        <v>14</v>
      </c>
      <c r="R4" s="14" t="s">
        <v>15</v>
      </c>
      <c r="S4" s="9" t="s">
        <v>18</v>
      </c>
      <c r="T4" s="9"/>
      <c r="U4" s="9"/>
      <c r="V4" s="9"/>
      <c r="W4" s="9"/>
    </row>
    <row r="5" spans="1:23" ht="22.5" customHeight="1" x14ac:dyDescent="0.2">
      <c r="A5" s="6"/>
      <c r="B5" s="39"/>
      <c r="C5" s="45"/>
      <c r="D5" s="39"/>
      <c r="E5" s="5"/>
      <c r="F5" s="5"/>
      <c r="G5" s="27"/>
      <c r="H5" s="41"/>
      <c r="I5" s="49"/>
      <c r="J5" s="25"/>
      <c r="K5" s="50"/>
      <c r="L5" s="50" t="str">
        <f t="shared" si="0"/>
        <v/>
      </c>
      <c r="M5" s="50"/>
      <c r="N5" s="50"/>
      <c r="O5" s="51">
        <f t="shared" si="1"/>
        <v>0</v>
      </c>
      <c r="P5" s="52"/>
      <c r="Q5" s="15"/>
      <c r="R5" s="8"/>
      <c r="S5" s="5"/>
      <c r="T5" s="16"/>
      <c r="U5" s="5"/>
      <c r="V5" s="16"/>
      <c r="W5" s="16"/>
    </row>
    <row r="6" spans="1:23" ht="22.5" customHeight="1" x14ac:dyDescent="0.2">
      <c r="A6" s="11" t="s">
        <v>137</v>
      </c>
      <c r="B6" s="10" t="s">
        <v>138</v>
      </c>
      <c r="C6" s="11" t="s">
        <v>11</v>
      </c>
      <c r="D6" s="10" t="s">
        <v>10</v>
      </c>
      <c r="E6" s="9" t="s">
        <v>21</v>
      </c>
      <c r="F6" s="9" t="s">
        <v>13</v>
      </c>
      <c r="G6" s="26" t="s">
        <v>77</v>
      </c>
      <c r="H6" s="12">
        <v>1</v>
      </c>
      <c r="I6" s="53"/>
      <c r="J6" s="14"/>
      <c r="K6" s="54"/>
      <c r="L6" s="54" t="str">
        <f t="shared" si="0"/>
        <v/>
      </c>
      <c r="M6" s="54"/>
      <c r="N6" s="54">
        <v>0.125</v>
      </c>
      <c r="O6" s="54">
        <f t="shared" si="1"/>
        <v>0</v>
      </c>
      <c r="P6" s="55"/>
      <c r="Q6" s="13" t="s">
        <v>22</v>
      </c>
      <c r="R6" s="14" t="s">
        <v>15</v>
      </c>
      <c r="S6" s="9" t="s">
        <v>16</v>
      </c>
      <c r="T6" s="9"/>
      <c r="U6" s="9"/>
      <c r="V6" s="9"/>
      <c r="W6" s="9"/>
    </row>
    <row r="7" spans="1:23" ht="22.5" customHeight="1" x14ac:dyDescent="0.2">
      <c r="A7" s="30" t="s">
        <v>137</v>
      </c>
      <c r="B7" s="29" t="s">
        <v>138</v>
      </c>
      <c r="C7" s="30" t="s">
        <v>11</v>
      </c>
      <c r="D7" s="29" t="s">
        <v>10</v>
      </c>
      <c r="E7" s="28" t="s">
        <v>21</v>
      </c>
      <c r="F7" s="28" t="s">
        <v>17</v>
      </c>
      <c r="G7" s="31" t="s">
        <v>78</v>
      </c>
      <c r="H7" s="37">
        <v>1</v>
      </c>
      <c r="I7" s="56"/>
      <c r="J7" s="32"/>
      <c r="K7" s="57"/>
      <c r="L7" s="57" t="str">
        <f t="shared" si="0"/>
        <v/>
      </c>
      <c r="M7" s="57"/>
      <c r="N7" s="50">
        <v>0.125</v>
      </c>
      <c r="O7" s="57">
        <f t="shared" si="1"/>
        <v>0</v>
      </c>
      <c r="P7" s="58"/>
      <c r="Q7" s="59" t="s">
        <v>22</v>
      </c>
      <c r="R7" s="32" t="s">
        <v>15</v>
      </c>
      <c r="S7" s="28" t="s">
        <v>18</v>
      </c>
      <c r="T7" s="28"/>
      <c r="U7" s="28"/>
      <c r="V7" s="28"/>
      <c r="W7" s="28"/>
    </row>
    <row r="8" spans="1:23" ht="22.5" customHeight="1" x14ac:dyDescent="0.2">
      <c r="A8" s="11" t="s">
        <v>137</v>
      </c>
      <c r="B8" s="10" t="s">
        <v>138</v>
      </c>
      <c r="C8" s="11" t="s">
        <v>11</v>
      </c>
      <c r="D8" s="10" t="s">
        <v>10</v>
      </c>
      <c r="E8" s="9" t="s">
        <v>21</v>
      </c>
      <c r="F8" s="9" t="s">
        <v>19</v>
      </c>
      <c r="G8" s="35" t="s">
        <v>79</v>
      </c>
      <c r="H8" s="12">
        <v>1</v>
      </c>
      <c r="I8" s="53"/>
      <c r="J8" s="14"/>
      <c r="K8" s="54"/>
      <c r="L8" s="54" t="str">
        <f t="shared" si="0"/>
        <v/>
      </c>
      <c r="M8" s="54"/>
      <c r="N8" s="54">
        <v>0.125</v>
      </c>
      <c r="O8" s="54">
        <f t="shared" si="1"/>
        <v>0</v>
      </c>
      <c r="P8" s="55"/>
      <c r="Q8" s="13" t="s">
        <v>23</v>
      </c>
      <c r="R8" s="14" t="s">
        <v>24</v>
      </c>
      <c r="S8" s="9" t="s">
        <v>16</v>
      </c>
      <c r="T8" s="60"/>
      <c r="U8" s="9"/>
      <c r="V8" s="9"/>
      <c r="W8" s="9"/>
    </row>
    <row r="9" spans="1:23" ht="22.5" customHeight="1" x14ac:dyDescent="0.2">
      <c r="A9" s="30" t="s">
        <v>137</v>
      </c>
      <c r="B9" s="29" t="s">
        <v>138</v>
      </c>
      <c r="C9" s="30" t="s">
        <v>11</v>
      </c>
      <c r="D9" s="29" t="s">
        <v>10</v>
      </c>
      <c r="E9" s="28" t="s">
        <v>21</v>
      </c>
      <c r="F9" s="28" t="s">
        <v>25</v>
      </c>
      <c r="G9" s="34" t="s">
        <v>80</v>
      </c>
      <c r="H9" s="37">
        <v>1</v>
      </c>
      <c r="I9" s="56"/>
      <c r="J9" s="61"/>
      <c r="K9" s="57"/>
      <c r="L9" s="57" t="str">
        <f t="shared" si="0"/>
        <v/>
      </c>
      <c r="M9" s="57"/>
      <c r="N9" s="50">
        <v>0.125</v>
      </c>
      <c r="O9" s="57">
        <f t="shared" si="1"/>
        <v>0</v>
      </c>
      <c r="P9" s="58"/>
      <c r="Q9" s="59" t="s">
        <v>26</v>
      </c>
      <c r="R9" s="32" t="s">
        <v>24</v>
      </c>
      <c r="S9" s="28" t="s">
        <v>20</v>
      </c>
      <c r="T9" s="28"/>
      <c r="U9" s="28"/>
      <c r="V9" s="28"/>
      <c r="W9" s="28"/>
    </row>
    <row r="10" spans="1:23" ht="22.5" customHeight="1" x14ac:dyDescent="0.2">
      <c r="A10" s="40"/>
      <c r="B10" s="39"/>
      <c r="C10" s="45"/>
      <c r="D10" s="39"/>
      <c r="E10" s="38"/>
      <c r="F10" s="38"/>
      <c r="G10" s="62"/>
      <c r="H10" s="41"/>
      <c r="I10" s="63"/>
      <c r="J10" s="64"/>
      <c r="K10" s="65"/>
      <c r="L10" s="65"/>
      <c r="M10" s="65"/>
      <c r="N10" s="65"/>
      <c r="O10" s="51"/>
      <c r="P10" s="66"/>
      <c r="Q10" s="67"/>
      <c r="R10" s="64"/>
      <c r="S10" s="16"/>
      <c r="T10" s="16"/>
      <c r="U10" s="38"/>
      <c r="V10" s="16"/>
      <c r="W10" s="16"/>
    </row>
    <row r="11" spans="1:23" ht="22.5" customHeight="1" x14ac:dyDescent="0.2">
      <c r="A11" s="40" t="s">
        <v>137</v>
      </c>
      <c r="B11" s="39" t="s">
        <v>138</v>
      </c>
      <c r="C11" s="40" t="s">
        <v>11</v>
      </c>
      <c r="D11" s="39" t="s">
        <v>10</v>
      </c>
      <c r="E11" s="38" t="s">
        <v>31</v>
      </c>
      <c r="F11" s="38" t="s">
        <v>13</v>
      </c>
      <c r="G11" s="33" t="s">
        <v>81</v>
      </c>
      <c r="H11" s="41">
        <v>1</v>
      </c>
      <c r="I11" s="68"/>
      <c r="J11" s="69"/>
      <c r="K11" s="51"/>
      <c r="L11" s="51" t="str">
        <f t="shared" ref="L11:L13" si="2">IF(K11="","",TRUNC((T11+K11)*1440)/1440)</f>
        <v/>
      </c>
      <c r="M11" s="70"/>
      <c r="N11" s="51">
        <v>0.125</v>
      </c>
      <c r="O11" s="51">
        <f t="shared" ref="O11:O13" si="3">M11-K11</f>
        <v>0</v>
      </c>
      <c r="P11" s="71"/>
      <c r="Q11" s="72" t="s">
        <v>32</v>
      </c>
      <c r="R11" s="69" t="s">
        <v>33</v>
      </c>
      <c r="S11" s="73" t="s">
        <v>34</v>
      </c>
      <c r="T11" s="38"/>
      <c r="U11" s="38"/>
      <c r="V11" s="38"/>
      <c r="W11" s="38"/>
    </row>
    <row r="12" spans="1:23" ht="22.5" customHeight="1" x14ac:dyDescent="0.2">
      <c r="A12" s="40" t="s">
        <v>137</v>
      </c>
      <c r="B12" s="39" t="s">
        <v>138</v>
      </c>
      <c r="C12" s="40" t="s">
        <v>11</v>
      </c>
      <c r="D12" s="39" t="s">
        <v>10</v>
      </c>
      <c r="E12" s="38" t="s">
        <v>35</v>
      </c>
      <c r="F12" s="38" t="s">
        <v>13</v>
      </c>
      <c r="G12" s="74" t="s">
        <v>82</v>
      </c>
      <c r="H12" s="41">
        <v>1</v>
      </c>
      <c r="I12" s="68"/>
      <c r="J12" s="69"/>
      <c r="K12" s="51"/>
      <c r="L12" s="51" t="str">
        <f t="shared" si="2"/>
        <v/>
      </c>
      <c r="M12" s="70"/>
      <c r="N12" s="65">
        <v>0.125</v>
      </c>
      <c r="O12" s="51">
        <f t="shared" si="3"/>
        <v>0</v>
      </c>
      <c r="P12" s="71"/>
      <c r="Q12" s="75" t="s">
        <v>32</v>
      </c>
      <c r="R12" s="69" t="s">
        <v>33</v>
      </c>
      <c r="S12" s="76" t="s">
        <v>20</v>
      </c>
      <c r="T12" s="38"/>
      <c r="U12" s="38"/>
      <c r="V12" s="38"/>
      <c r="W12" s="38"/>
    </row>
    <row r="13" spans="1:23" ht="22.5" customHeight="1" x14ac:dyDescent="0.2">
      <c r="A13" s="40" t="s">
        <v>137</v>
      </c>
      <c r="B13" s="39" t="s">
        <v>138</v>
      </c>
      <c r="C13" s="40" t="s">
        <v>11</v>
      </c>
      <c r="D13" s="39" t="s">
        <v>10</v>
      </c>
      <c r="E13" s="38" t="s">
        <v>36</v>
      </c>
      <c r="F13" s="38" t="s">
        <v>13</v>
      </c>
      <c r="G13" s="77" t="s">
        <v>83</v>
      </c>
      <c r="H13" s="41">
        <v>1</v>
      </c>
      <c r="I13" s="68"/>
      <c r="J13" s="69"/>
      <c r="K13" s="51"/>
      <c r="L13" s="51" t="str">
        <f t="shared" si="2"/>
        <v/>
      </c>
      <c r="M13" s="70"/>
      <c r="N13" s="51">
        <v>0.125</v>
      </c>
      <c r="O13" s="51">
        <f t="shared" si="3"/>
        <v>0</v>
      </c>
      <c r="P13" s="71"/>
      <c r="Q13" s="75" t="s">
        <v>32</v>
      </c>
      <c r="R13" s="69" t="s">
        <v>33</v>
      </c>
      <c r="S13" s="76" t="s">
        <v>37</v>
      </c>
      <c r="T13" s="38"/>
      <c r="U13" s="38"/>
      <c r="V13" s="38"/>
      <c r="W13" s="38"/>
    </row>
    <row r="14" spans="1:23" ht="22.5" customHeight="1" x14ac:dyDescent="0.2">
      <c r="A14" s="40"/>
      <c r="B14" s="39"/>
      <c r="C14" s="45"/>
      <c r="D14" s="39"/>
      <c r="E14" s="38"/>
      <c r="F14" s="38"/>
      <c r="G14" s="78"/>
      <c r="H14" s="41"/>
      <c r="I14" s="68"/>
      <c r="J14" s="69"/>
      <c r="K14" s="51"/>
      <c r="L14" s="51"/>
      <c r="M14" s="70"/>
      <c r="N14" s="51"/>
      <c r="O14" s="51"/>
      <c r="P14" s="71"/>
      <c r="Q14" s="79"/>
      <c r="R14" s="69"/>
      <c r="S14" s="38"/>
      <c r="T14" s="80"/>
      <c r="U14" s="38"/>
      <c r="V14" s="38"/>
      <c r="W14" s="38"/>
    </row>
    <row r="15" spans="1:23" ht="22.5" customHeight="1" x14ac:dyDescent="0.2">
      <c r="A15" s="40" t="s">
        <v>137</v>
      </c>
      <c r="B15" s="39" t="s">
        <v>138</v>
      </c>
      <c r="C15" s="40" t="s">
        <v>38</v>
      </c>
      <c r="D15" s="39" t="s">
        <v>10</v>
      </c>
      <c r="E15" s="38" t="s">
        <v>39</v>
      </c>
      <c r="F15" s="38" t="s">
        <v>13</v>
      </c>
      <c r="G15" s="81" t="s">
        <v>84</v>
      </c>
      <c r="H15" s="41">
        <v>1</v>
      </c>
      <c r="I15" s="68"/>
      <c r="J15" s="82"/>
      <c r="K15" s="51"/>
      <c r="L15" s="51" t="str">
        <f t="shared" ref="L15:L41" si="4">IF(K15="","",TRUNC((T15+K15)*1440)/1440)</f>
        <v/>
      </c>
      <c r="M15" s="70"/>
      <c r="N15" s="51">
        <v>0.125</v>
      </c>
      <c r="O15" s="51">
        <f t="shared" ref="O15:O34" si="5">M15-K15</f>
        <v>0</v>
      </c>
      <c r="P15" s="71"/>
      <c r="Q15" s="83" t="s">
        <v>40</v>
      </c>
      <c r="R15" s="69" t="s">
        <v>15</v>
      </c>
      <c r="S15" s="38" t="s">
        <v>16</v>
      </c>
      <c r="T15" s="38"/>
      <c r="U15" s="38"/>
      <c r="V15" s="38"/>
      <c r="W15" s="38"/>
    </row>
    <row r="16" spans="1:23" ht="22.5" customHeight="1" x14ac:dyDescent="0.2">
      <c r="A16" s="40" t="s">
        <v>137</v>
      </c>
      <c r="B16" s="39" t="s">
        <v>138</v>
      </c>
      <c r="C16" s="40" t="s">
        <v>38</v>
      </c>
      <c r="D16" s="39" t="s">
        <v>10</v>
      </c>
      <c r="E16" s="38" t="s">
        <v>39</v>
      </c>
      <c r="F16" s="38" t="s">
        <v>17</v>
      </c>
      <c r="G16" s="84" t="s">
        <v>85</v>
      </c>
      <c r="H16" s="41">
        <v>1</v>
      </c>
      <c r="I16" s="68"/>
      <c r="J16" s="82"/>
      <c r="K16" s="51"/>
      <c r="L16" s="51" t="str">
        <f t="shared" si="4"/>
        <v/>
      </c>
      <c r="M16" s="70"/>
      <c r="N16" s="51">
        <v>0.125</v>
      </c>
      <c r="O16" s="51">
        <f t="shared" si="5"/>
        <v>0</v>
      </c>
      <c r="P16" s="71"/>
      <c r="Q16" s="83" t="s">
        <v>40</v>
      </c>
      <c r="R16" s="69" t="s">
        <v>15</v>
      </c>
      <c r="S16" s="38" t="s">
        <v>18</v>
      </c>
      <c r="T16" s="38"/>
      <c r="U16" s="38"/>
      <c r="V16" s="38"/>
      <c r="W16" s="38"/>
    </row>
    <row r="17" spans="1:23" ht="22.5" customHeight="1" x14ac:dyDescent="0.2">
      <c r="A17" s="40" t="s">
        <v>137</v>
      </c>
      <c r="B17" s="39" t="s">
        <v>138</v>
      </c>
      <c r="C17" s="40" t="s">
        <v>38</v>
      </c>
      <c r="D17" s="39" t="s">
        <v>10</v>
      </c>
      <c r="E17" s="38" t="s">
        <v>39</v>
      </c>
      <c r="F17" s="38" t="s">
        <v>19</v>
      </c>
      <c r="G17" s="81" t="s">
        <v>86</v>
      </c>
      <c r="H17" s="41">
        <v>1</v>
      </c>
      <c r="I17" s="68"/>
      <c r="J17" s="82"/>
      <c r="K17" s="51"/>
      <c r="L17" s="51" t="str">
        <f t="shared" si="4"/>
        <v/>
      </c>
      <c r="M17" s="70"/>
      <c r="N17" s="51">
        <v>0.125</v>
      </c>
      <c r="O17" s="51">
        <f t="shared" si="5"/>
        <v>0</v>
      </c>
      <c r="P17" s="71"/>
      <c r="Q17" s="83" t="s">
        <v>40</v>
      </c>
      <c r="R17" s="69" t="s">
        <v>15</v>
      </c>
      <c r="S17" s="38" t="s">
        <v>29</v>
      </c>
      <c r="T17" s="38"/>
      <c r="U17" s="38"/>
      <c r="V17" s="38"/>
      <c r="W17" s="38"/>
    </row>
    <row r="18" spans="1:23" ht="22.5" customHeight="1" x14ac:dyDescent="0.2">
      <c r="A18" s="40" t="s">
        <v>137</v>
      </c>
      <c r="B18" s="39" t="s">
        <v>138</v>
      </c>
      <c r="C18" s="40" t="s">
        <v>38</v>
      </c>
      <c r="D18" s="39" t="s">
        <v>10</v>
      </c>
      <c r="E18" s="38" t="s">
        <v>39</v>
      </c>
      <c r="F18" s="38" t="s">
        <v>25</v>
      </c>
      <c r="G18" s="84" t="s">
        <v>87</v>
      </c>
      <c r="H18" s="41">
        <v>1</v>
      </c>
      <c r="I18" s="68"/>
      <c r="J18" s="82"/>
      <c r="K18" s="51"/>
      <c r="L18" s="51" t="str">
        <f t="shared" si="4"/>
        <v/>
      </c>
      <c r="M18" s="70"/>
      <c r="N18" s="51">
        <v>0.125</v>
      </c>
      <c r="O18" s="51">
        <f t="shared" si="5"/>
        <v>0</v>
      </c>
      <c r="P18" s="71"/>
      <c r="Q18" s="83" t="s">
        <v>41</v>
      </c>
      <c r="R18" s="69" t="s">
        <v>33</v>
      </c>
      <c r="S18" s="38" t="s">
        <v>16</v>
      </c>
      <c r="T18" s="38"/>
      <c r="U18" s="38"/>
      <c r="V18" s="38"/>
      <c r="W18" s="38"/>
    </row>
    <row r="19" spans="1:23" ht="22.5" customHeight="1" x14ac:dyDescent="0.2">
      <c r="A19" s="40" t="s">
        <v>137</v>
      </c>
      <c r="B19" s="39" t="s">
        <v>138</v>
      </c>
      <c r="C19" s="40" t="s">
        <v>38</v>
      </c>
      <c r="D19" s="39" t="s">
        <v>10</v>
      </c>
      <c r="E19" s="38" t="s">
        <v>39</v>
      </c>
      <c r="F19" s="38" t="s">
        <v>27</v>
      </c>
      <c r="G19" s="85" t="s">
        <v>88</v>
      </c>
      <c r="H19" s="41">
        <v>1</v>
      </c>
      <c r="I19" s="68"/>
      <c r="J19" s="82"/>
      <c r="K19" s="51"/>
      <c r="L19" s="51" t="str">
        <f t="shared" si="4"/>
        <v/>
      </c>
      <c r="M19" s="70"/>
      <c r="N19" s="51">
        <v>0.125</v>
      </c>
      <c r="O19" s="51">
        <f t="shared" si="5"/>
        <v>0</v>
      </c>
      <c r="P19" s="71"/>
      <c r="Q19" s="83" t="s">
        <v>42</v>
      </c>
      <c r="R19" s="69" t="s">
        <v>24</v>
      </c>
      <c r="S19" s="38" t="s">
        <v>16</v>
      </c>
      <c r="T19" s="38"/>
      <c r="U19" s="38"/>
      <c r="V19" s="38"/>
      <c r="W19" s="38"/>
    </row>
    <row r="20" spans="1:23" ht="22.5" customHeight="1" x14ac:dyDescent="0.2">
      <c r="A20" s="40" t="s">
        <v>137</v>
      </c>
      <c r="B20" s="39" t="s">
        <v>138</v>
      </c>
      <c r="C20" s="40" t="s">
        <v>38</v>
      </c>
      <c r="D20" s="39" t="s">
        <v>10</v>
      </c>
      <c r="E20" s="38" t="s">
        <v>39</v>
      </c>
      <c r="F20" s="38" t="s">
        <v>28</v>
      </c>
      <c r="G20" s="85" t="s">
        <v>89</v>
      </c>
      <c r="H20" s="41">
        <v>1</v>
      </c>
      <c r="I20" s="68"/>
      <c r="J20" s="82"/>
      <c r="K20" s="51"/>
      <c r="L20" s="51" t="str">
        <f t="shared" si="4"/>
        <v/>
      </c>
      <c r="M20" s="70"/>
      <c r="N20" s="51">
        <v>0.125</v>
      </c>
      <c r="O20" s="51">
        <f t="shared" si="5"/>
        <v>0</v>
      </c>
      <c r="P20" s="71"/>
      <c r="Q20" s="83" t="s">
        <v>43</v>
      </c>
      <c r="R20" s="69" t="s">
        <v>24</v>
      </c>
      <c r="S20" s="38" t="s">
        <v>18</v>
      </c>
      <c r="T20" s="38"/>
      <c r="U20" s="38"/>
      <c r="V20" s="38"/>
      <c r="W20" s="38"/>
    </row>
    <row r="21" spans="1:23" ht="22.5" customHeight="1" x14ac:dyDescent="0.2">
      <c r="A21" s="40" t="s">
        <v>137</v>
      </c>
      <c r="B21" s="39" t="s">
        <v>138</v>
      </c>
      <c r="C21" s="40" t="s">
        <v>38</v>
      </c>
      <c r="D21" s="39" t="s">
        <v>10</v>
      </c>
      <c r="E21" s="38" t="s">
        <v>39</v>
      </c>
      <c r="F21" s="38" t="s">
        <v>44</v>
      </c>
      <c r="G21" s="81" t="s">
        <v>90</v>
      </c>
      <c r="H21" s="41">
        <v>1</v>
      </c>
      <c r="I21" s="68"/>
      <c r="J21" s="82"/>
      <c r="K21" s="51"/>
      <c r="L21" s="51" t="str">
        <f t="shared" si="4"/>
        <v/>
      </c>
      <c r="M21" s="70"/>
      <c r="N21" s="51">
        <v>0.125</v>
      </c>
      <c r="O21" s="51">
        <f t="shared" si="5"/>
        <v>0</v>
      </c>
      <c r="P21" s="71"/>
      <c r="Q21" s="83" t="s">
        <v>43</v>
      </c>
      <c r="R21" s="69" t="s">
        <v>24</v>
      </c>
      <c r="S21" s="38" t="s">
        <v>29</v>
      </c>
      <c r="T21" s="38"/>
      <c r="U21" s="38"/>
      <c r="V21" s="38"/>
      <c r="W21" s="38"/>
    </row>
    <row r="22" spans="1:23" ht="22.5" customHeight="1" x14ac:dyDescent="0.2">
      <c r="A22" s="40" t="s">
        <v>137</v>
      </c>
      <c r="B22" s="39" t="s">
        <v>138</v>
      </c>
      <c r="C22" s="40" t="s">
        <v>38</v>
      </c>
      <c r="D22" s="39" t="s">
        <v>10</v>
      </c>
      <c r="E22" s="38" t="s">
        <v>39</v>
      </c>
      <c r="F22" s="38" t="s">
        <v>45</v>
      </c>
      <c r="G22" s="81" t="s">
        <v>91</v>
      </c>
      <c r="H22" s="41">
        <v>1</v>
      </c>
      <c r="I22" s="68"/>
      <c r="J22" s="69"/>
      <c r="K22" s="51"/>
      <c r="L22" s="51" t="str">
        <f t="shared" si="4"/>
        <v/>
      </c>
      <c r="M22" s="70"/>
      <c r="N22" s="51">
        <v>0.125</v>
      </c>
      <c r="O22" s="51">
        <f t="shared" si="5"/>
        <v>0</v>
      </c>
      <c r="P22" s="71"/>
      <c r="Q22" s="83" t="s">
        <v>46</v>
      </c>
      <c r="R22" s="69" t="s">
        <v>15</v>
      </c>
      <c r="S22" s="38" t="s">
        <v>16</v>
      </c>
      <c r="T22" s="38"/>
      <c r="U22" s="38"/>
      <c r="V22" s="38"/>
      <c r="W22" s="38"/>
    </row>
    <row r="23" spans="1:23" ht="22.5" customHeight="1" x14ac:dyDescent="0.2">
      <c r="A23" s="40" t="s">
        <v>137</v>
      </c>
      <c r="B23" s="39" t="s">
        <v>138</v>
      </c>
      <c r="C23" s="40" t="s">
        <v>38</v>
      </c>
      <c r="D23" s="39" t="s">
        <v>10</v>
      </c>
      <c r="E23" s="38" t="s">
        <v>39</v>
      </c>
      <c r="F23" s="38" t="s">
        <v>47</v>
      </c>
      <c r="G23" s="81" t="s">
        <v>92</v>
      </c>
      <c r="H23" s="41">
        <v>1</v>
      </c>
      <c r="I23" s="68"/>
      <c r="J23" s="69"/>
      <c r="K23" s="51"/>
      <c r="L23" s="51" t="str">
        <f t="shared" si="4"/>
        <v/>
      </c>
      <c r="M23" s="70"/>
      <c r="N23" s="51">
        <v>0.125</v>
      </c>
      <c r="O23" s="51">
        <f t="shared" si="5"/>
        <v>0</v>
      </c>
      <c r="P23" s="71"/>
      <c r="Q23" s="83" t="s">
        <v>48</v>
      </c>
      <c r="R23" s="69" t="s">
        <v>15</v>
      </c>
      <c r="S23" s="38" t="s">
        <v>49</v>
      </c>
      <c r="T23" s="38"/>
      <c r="U23" s="38"/>
      <c r="V23" s="38"/>
      <c r="W23" s="38"/>
    </row>
    <row r="24" spans="1:23" ht="22.5" customHeight="1" x14ac:dyDescent="0.2">
      <c r="A24" s="40" t="s">
        <v>137</v>
      </c>
      <c r="B24" s="39" t="s">
        <v>138</v>
      </c>
      <c r="C24" s="40" t="s">
        <v>38</v>
      </c>
      <c r="D24" s="39" t="s">
        <v>10</v>
      </c>
      <c r="E24" s="38" t="s">
        <v>39</v>
      </c>
      <c r="F24" s="38" t="s">
        <v>50</v>
      </c>
      <c r="G24" s="81" t="s">
        <v>93</v>
      </c>
      <c r="H24" s="41">
        <v>1</v>
      </c>
      <c r="I24" s="68"/>
      <c r="J24" s="69"/>
      <c r="K24" s="51"/>
      <c r="L24" s="51" t="str">
        <f t="shared" si="4"/>
        <v/>
      </c>
      <c r="M24" s="51"/>
      <c r="N24" s="51">
        <v>0.125</v>
      </c>
      <c r="O24" s="51">
        <f t="shared" si="5"/>
        <v>0</v>
      </c>
      <c r="P24" s="71"/>
      <c r="Q24" s="83" t="s">
        <v>46</v>
      </c>
      <c r="R24" s="69" t="s">
        <v>15</v>
      </c>
      <c r="S24" s="38" t="s">
        <v>29</v>
      </c>
      <c r="T24" s="38"/>
      <c r="U24" s="38"/>
      <c r="V24" s="38"/>
      <c r="W24" s="38"/>
    </row>
    <row r="25" spans="1:23" ht="22.5" customHeight="1" x14ac:dyDescent="0.2">
      <c r="A25" s="40" t="s">
        <v>137</v>
      </c>
      <c r="B25" s="39" t="s">
        <v>138</v>
      </c>
      <c r="C25" s="40" t="s">
        <v>38</v>
      </c>
      <c r="D25" s="39" t="s">
        <v>10</v>
      </c>
      <c r="E25" s="38" t="s">
        <v>39</v>
      </c>
      <c r="F25" s="38" t="s">
        <v>51</v>
      </c>
      <c r="G25" s="81" t="s">
        <v>94</v>
      </c>
      <c r="H25" s="41">
        <v>1</v>
      </c>
      <c r="I25" s="68"/>
      <c r="J25" s="69"/>
      <c r="K25" s="51"/>
      <c r="L25" s="51" t="str">
        <f t="shared" si="4"/>
        <v/>
      </c>
      <c r="M25" s="70"/>
      <c r="N25" s="51">
        <v>0.125</v>
      </c>
      <c r="O25" s="51">
        <f t="shared" si="5"/>
        <v>0</v>
      </c>
      <c r="P25" s="71"/>
      <c r="Q25" s="83" t="s">
        <v>42</v>
      </c>
      <c r="R25" s="69" t="s">
        <v>24</v>
      </c>
      <c r="S25" s="38" t="s">
        <v>18</v>
      </c>
      <c r="T25" s="38"/>
      <c r="U25" s="38"/>
      <c r="V25" s="38"/>
      <c r="W25" s="38"/>
    </row>
    <row r="26" spans="1:23" ht="22.5" customHeight="1" x14ac:dyDescent="0.2">
      <c r="A26" s="40" t="s">
        <v>137</v>
      </c>
      <c r="B26" s="39" t="s">
        <v>138</v>
      </c>
      <c r="C26" s="40" t="s">
        <v>38</v>
      </c>
      <c r="D26" s="39" t="s">
        <v>10</v>
      </c>
      <c r="E26" s="38" t="s">
        <v>39</v>
      </c>
      <c r="F26" s="38" t="s">
        <v>52</v>
      </c>
      <c r="G26" s="81" t="s">
        <v>95</v>
      </c>
      <c r="H26" s="41">
        <v>1</v>
      </c>
      <c r="I26" s="68"/>
      <c r="J26" s="69"/>
      <c r="K26" s="51"/>
      <c r="L26" s="51" t="str">
        <f t="shared" si="4"/>
        <v/>
      </c>
      <c r="M26" s="70"/>
      <c r="N26" s="51">
        <v>0.125</v>
      </c>
      <c r="O26" s="51">
        <f t="shared" si="5"/>
        <v>0</v>
      </c>
      <c r="P26" s="71"/>
      <c r="Q26" s="83" t="s">
        <v>53</v>
      </c>
      <c r="R26" s="69" t="s">
        <v>15</v>
      </c>
      <c r="S26" s="38" t="s">
        <v>54</v>
      </c>
      <c r="T26" s="80"/>
      <c r="U26" s="80"/>
      <c r="V26" s="38"/>
      <c r="W26" s="38"/>
    </row>
    <row r="27" spans="1:23" ht="22.5" customHeight="1" x14ac:dyDescent="0.2">
      <c r="A27" s="40"/>
      <c r="B27" s="39"/>
      <c r="C27" s="40"/>
      <c r="D27" s="39"/>
      <c r="E27" s="38"/>
      <c r="F27" s="38"/>
      <c r="H27" s="41"/>
      <c r="I27" s="68"/>
      <c r="J27" s="69"/>
      <c r="K27" s="51"/>
      <c r="L27" s="51" t="str">
        <f t="shared" si="4"/>
        <v/>
      </c>
      <c r="M27" s="70"/>
      <c r="N27" s="51"/>
      <c r="O27" s="51">
        <f t="shared" si="5"/>
        <v>0</v>
      </c>
      <c r="P27" s="71"/>
      <c r="Q27" s="83"/>
      <c r="R27" s="69"/>
      <c r="S27" s="38"/>
      <c r="T27" s="80"/>
      <c r="U27" s="80"/>
      <c r="V27" s="38"/>
      <c r="W27" s="38"/>
    </row>
    <row r="28" spans="1:23" ht="22.5" customHeight="1" x14ac:dyDescent="0.2">
      <c r="A28" s="40" t="s">
        <v>137</v>
      </c>
      <c r="B28" s="39" t="s">
        <v>138</v>
      </c>
      <c r="C28" s="40" t="s">
        <v>38</v>
      </c>
      <c r="D28" s="39" t="s">
        <v>10</v>
      </c>
      <c r="E28" s="3" t="s">
        <v>55</v>
      </c>
      <c r="F28" s="38" t="s">
        <v>13</v>
      </c>
      <c r="G28" s="81" t="s">
        <v>96</v>
      </c>
      <c r="H28" s="41">
        <v>1</v>
      </c>
      <c r="I28" s="68"/>
      <c r="J28" s="69"/>
      <c r="K28" s="51"/>
      <c r="L28" s="51" t="str">
        <f t="shared" si="4"/>
        <v/>
      </c>
      <c r="M28" s="70"/>
      <c r="N28" s="51">
        <v>0.125</v>
      </c>
      <c r="O28" s="51">
        <f t="shared" si="5"/>
        <v>0</v>
      </c>
      <c r="P28" s="71"/>
      <c r="Q28" s="83" t="s">
        <v>56</v>
      </c>
      <c r="R28" s="69" t="s">
        <v>15</v>
      </c>
      <c r="S28" s="38" t="s">
        <v>16</v>
      </c>
      <c r="T28" s="80"/>
      <c r="U28" s="80"/>
      <c r="V28" s="38"/>
      <c r="W28" s="38"/>
    </row>
    <row r="29" spans="1:23" ht="22.5" customHeight="1" x14ac:dyDescent="0.2">
      <c r="A29" s="40" t="s">
        <v>137</v>
      </c>
      <c r="B29" s="39" t="s">
        <v>138</v>
      </c>
      <c r="C29" s="40" t="s">
        <v>38</v>
      </c>
      <c r="D29" s="39" t="s">
        <v>10</v>
      </c>
      <c r="E29" s="3" t="s">
        <v>55</v>
      </c>
      <c r="F29" s="38" t="s">
        <v>17</v>
      </c>
      <c r="G29" s="81" t="s">
        <v>97</v>
      </c>
      <c r="H29" s="41">
        <v>1</v>
      </c>
      <c r="I29" s="68"/>
      <c r="J29" s="69"/>
      <c r="K29" s="51"/>
      <c r="L29" s="51" t="str">
        <f t="shared" si="4"/>
        <v/>
      </c>
      <c r="M29" s="70"/>
      <c r="N29" s="51">
        <v>0.125</v>
      </c>
      <c r="O29" s="51">
        <f t="shared" si="5"/>
        <v>0</v>
      </c>
      <c r="P29" s="71"/>
      <c r="Q29" s="83" t="s">
        <v>56</v>
      </c>
      <c r="R29" s="69" t="s">
        <v>15</v>
      </c>
      <c r="S29" s="38" t="s">
        <v>18</v>
      </c>
      <c r="T29" s="80"/>
      <c r="U29" s="80"/>
      <c r="V29" s="38"/>
      <c r="W29" s="38"/>
    </row>
    <row r="30" spans="1:23" ht="22.5" customHeight="1" x14ac:dyDescent="0.2">
      <c r="A30" s="40" t="s">
        <v>137</v>
      </c>
      <c r="B30" s="39" t="s">
        <v>138</v>
      </c>
      <c r="C30" s="40" t="s">
        <v>38</v>
      </c>
      <c r="D30" s="39" t="s">
        <v>10</v>
      </c>
      <c r="E30" s="3" t="s">
        <v>55</v>
      </c>
      <c r="F30" s="38" t="s">
        <v>19</v>
      </c>
      <c r="G30" s="81" t="s">
        <v>98</v>
      </c>
      <c r="H30" s="41">
        <v>1</v>
      </c>
      <c r="I30" s="68"/>
      <c r="J30" s="69"/>
      <c r="K30" s="51"/>
      <c r="L30" s="51" t="str">
        <f t="shared" si="4"/>
        <v/>
      </c>
      <c r="M30" s="70"/>
      <c r="N30" s="51">
        <v>0.125</v>
      </c>
      <c r="O30" s="51">
        <f t="shared" si="5"/>
        <v>0</v>
      </c>
      <c r="P30" s="71"/>
      <c r="Q30" s="83" t="s">
        <v>57</v>
      </c>
      <c r="R30" s="69" t="s">
        <v>33</v>
      </c>
      <c r="S30" s="38" t="s">
        <v>16</v>
      </c>
      <c r="T30" s="80"/>
      <c r="U30" s="80"/>
      <c r="V30" s="38"/>
      <c r="W30" s="38"/>
    </row>
    <row r="31" spans="1:23" ht="22.5" customHeight="1" x14ac:dyDescent="0.2">
      <c r="A31" s="40" t="s">
        <v>137</v>
      </c>
      <c r="B31" s="39" t="s">
        <v>138</v>
      </c>
      <c r="C31" s="40" t="s">
        <v>38</v>
      </c>
      <c r="D31" s="39" t="s">
        <v>10</v>
      </c>
      <c r="E31" s="3" t="s">
        <v>55</v>
      </c>
      <c r="F31" s="38" t="s">
        <v>25</v>
      </c>
      <c r="G31" s="81" t="s">
        <v>99</v>
      </c>
      <c r="H31" s="41">
        <v>1</v>
      </c>
      <c r="I31" s="68"/>
      <c r="J31" s="82"/>
      <c r="K31" s="51"/>
      <c r="L31" s="51" t="str">
        <f t="shared" si="4"/>
        <v/>
      </c>
      <c r="M31" s="70"/>
      <c r="N31" s="51">
        <v>0.125</v>
      </c>
      <c r="O31" s="70">
        <f t="shared" si="5"/>
        <v>0</v>
      </c>
      <c r="P31" s="71"/>
      <c r="Q31" s="83" t="s">
        <v>22</v>
      </c>
      <c r="R31" s="69" t="s">
        <v>24</v>
      </c>
      <c r="S31" s="38" t="s">
        <v>16</v>
      </c>
      <c r="T31" s="38"/>
      <c r="U31" s="38"/>
      <c r="V31" s="38"/>
      <c r="W31" s="38"/>
    </row>
    <row r="32" spans="1:23" ht="22.5" customHeight="1" x14ac:dyDescent="0.2">
      <c r="A32" s="40" t="s">
        <v>137</v>
      </c>
      <c r="B32" s="39" t="s">
        <v>138</v>
      </c>
      <c r="C32" s="40" t="s">
        <v>38</v>
      </c>
      <c r="D32" s="39" t="s">
        <v>10</v>
      </c>
      <c r="E32" s="3" t="s">
        <v>55</v>
      </c>
      <c r="F32" s="38" t="s">
        <v>27</v>
      </c>
      <c r="G32" s="81" t="s">
        <v>100</v>
      </c>
      <c r="H32" s="41">
        <v>1</v>
      </c>
      <c r="I32" s="68"/>
      <c r="J32" s="69"/>
      <c r="K32" s="51"/>
      <c r="L32" s="51" t="str">
        <f t="shared" si="4"/>
        <v/>
      </c>
      <c r="M32" s="70"/>
      <c r="N32" s="51">
        <v>0.125</v>
      </c>
      <c r="O32" s="70">
        <f t="shared" si="5"/>
        <v>0</v>
      </c>
      <c r="P32" s="71"/>
      <c r="Q32" s="83" t="s">
        <v>26</v>
      </c>
      <c r="R32" s="69" t="s">
        <v>24</v>
      </c>
      <c r="S32" s="38" t="s">
        <v>18</v>
      </c>
      <c r="T32" s="38"/>
      <c r="U32" s="38"/>
      <c r="V32" s="38"/>
      <c r="W32" s="38"/>
    </row>
    <row r="33" spans="1:23" ht="22.5" customHeight="1" x14ac:dyDescent="0.2">
      <c r="A33" s="40" t="s">
        <v>137</v>
      </c>
      <c r="B33" s="39" t="s">
        <v>138</v>
      </c>
      <c r="C33" s="40" t="s">
        <v>38</v>
      </c>
      <c r="D33" s="39" t="s">
        <v>10</v>
      </c>
      <c r="E33" s="3" t="s">
        <v>55</v>
      </c>
      <c r="F33" s="38" t="s">
        <v>28</v>
      </c>
      <c r="G33" s="81" t="s">
        <v>101</v>
      </c>
      <c r="H33" s="41">
        <v>1</v>
      </c>
      <c r="I33" s="68"/>
      <c r="J33" s="86"/>
      <c r="K33" s="51"/>
      <c r="L33" s="51" t="str">
        <f t="shared" si="4"/>
        <v/>
      </c>
      <c r="M33" s="70"/>
      <c r="N33" s="51">
        <v>0.125</v>
      </c>
      <c r="O33" s="70">
        <f t="shared" si="5"/>
        <v>0</v>
      </c>
      <c r="P33" s="71"/>
      <c r="Q33" s="83" t="s">
        <v>56</v>
      </c>
      <c r="R33" s="69" t="s">
        <v>24</v>
      </c>
      <c r="S33" s="38" t="s">
        <v>18</v>
      </c>
      <c r="T33" s="38"/>
      <c r="U33" s="38"/>
      <c r="V33" s="38"/>
      <c r="W33" s="38"/>
    </row>
    <row r="34" spans="1:23" ht="22.5" customHeight="1" x14ac:dyDescent="0.2">
      <c r="A34" s="40" t="s">
        <v>137</v>
      </c>
      <c r="B34" s="39" t="s">
        <v>138</v>
      </c>
      <c r="C34" s="40" t="s">
        <v>38</v>
      </c>
      <c r="D34" s="39" t="s">
        <v>10</v>
      </c>
      <c r="E34" s="3" t="s">
        <v>55</v>
      </c>
      <c r="F34" s="38" t="s">
        <v>44</v>
      </c>
      <c r="G34" s="81" t="s">
        <v>102</v>
      </c>
      <c r="H34" s="41">
        <v>1</v>
      </c>
      <c r="I34" s="68"/>
      <c r="J34" s="86"/>
      <c r="K34" s="51"/>
      <c r="L34" s="51" t="str">
        <f t="shared" si="4"/>
        <v/>
      </c>
      <c r="M34" s="70"/>
      <c r="N34" s="51">
        <v>0.125</v>
      </c>
      <c r="O34" s="70">
        <f t="shared" si="5"/>
        <v>0</v>
      </c>
      <c r="P34" s="71"/>
      <c r="Q34" s="83" t="s">
        <v>43</v>
      </c>
      <c r="R34" s="69" t="s">
        <v>15</v>
      </c>
      <c r="S34" s="38" t="s">
        <v>49</v>
      </c>
      <c r="T34" s="38"/>
      <c r="U34" s="38"/>
      <c r="V34" s="38"/>
      <c r="W34" s="38"/>
    </row>
    <row r="35" spans="1:23" ht="22.5" customHeight="1" x14ac:dyDescent="0.2">
      <c r="A35" s="40"/>
      <c r="B35" s="39"/>
      <c r="C35" s="40"/>
      <c r="D35" s="39"/>
      <c r="E35" s="38"/>
      <c r="F35" s="38"/>
      <c r="G35" s="87"/>
      <c r="H35" s="41"/>
      <c r="I35" s="68"/>
      <c r="J35" s="86"/>
      <c r="K35" s="51"/>
      <c r="L35" s="51" t="str">
        <f t="shared" si="4"/>
        <v/>
      </c>
      <c r="M35" s="70"/>
      <c r="N35" s="51"/>
      <c r="O35" s="83"/>
      <c r="P35" s="71"/>
      <c r="Q35" s="83"/>
      <c r="R35" s="69"/>
      <c r="S35" s="38"/>
      <c r="T35" s="38"/>
      <c r="U35" s="38"/>
      <c r="V35" s="38"/>
      <c r="W35" s="38"/>
    </row>
    <row r="36" spans="1:23" ht="22.5" customHeight="1" x14ac:dyDescent="0.2">
      <c r="A36" s="40" t="s">
        <v>137</v>
      </c>
      <c r="B36" s="39" t="s">
        <v>138</v>
      </c>
      <c r="C36" s="40" t="s">
        <v>38</v>
      </c>
      <c r="D36" s="39" t="s">
        <v>10</v>
      </c>
      <c r="E36" s="3" t="s">
        <v>58</v>
      </c>
      <c r="F36" s="38" t="s">
        <v>13</v>
      </c>
      <c r="G36" s="81" t="s">
        <v>103</v>
      </c>
      <c r="H36" s="41">
        <v>1</v>
      </c>
      <c r="I36" s="68"/>
      <c r="J36" s="86"/>
      <c r="K36" s="51"/>
      <c r="L36" s="51" t="str">
        <f t="shared" si="4"/>
        <v/>
      </c>
      <c r="M36" s="70"/>
      <c r="N36" s="51">
        <v>0.125</v>
      </c>
      <c r="O36" s="70">
        <f t="shared" ref="O36:O44" si="6">M36-K36</f>
        <v>0</v>
      </c>
      <c r="P36" s="71"/>
      <c r="Q36" s="83" t="s">
        <v>59</v>
      </c>
      <c r="R36" s="69" t="s">
        <v>15</v>
      </c>
      <c r="S36" s="38" t="s">
        <v>16</v>
      </c>
      <c r="T36" s="38"/>
      <c r="U36" s="38"/>
      <c r="V36" s="38"/>
      <c r="W36" s="38"/>
    </row>
    <row r="37" spans="1:23" ht="22.5" customHeight="1" x14ac:dyDescent="0.2">
      <c r="A37" s="40" t="s">
        <v>137</v>
      </c>
      <c r="B37" s="39" t="s">
        <v>138</v>
      </c>
      <c r="C37" s="40" t="s">
        <v>38</v>
      </c>
      <c r="D37" s="39" t="s">
        <v>10</v>
      </c>
      <c r="E37" s="3" t="s">
        <v>58</v>
      </c>
      <c r="F37" s="38" t="s">
        <v>17</v>
      </c>
      <c r="G37" s="81" t="s">
        <v>104</v>
      </c>
      <c r="H37" s="41">
        <v>1</v>
      </c>
      <c r="I37" s="68"/>
      <c r="J37" s="86"/>
      <c r="K37" s="51"/>
      <c r="L37" s="51" t="str">
        <f t="shared" si="4"/>
        <v/>
      </c>
      <c r="M37" s="70"/>
      <c r="N37" s="51">
        <v>0.125</v>
      </c>
      <c r="O37" s="70">
        <f t="shared" si="6"/>
        <v>0</v>
      </c>
      <c r="P37" s="71"/>
      <c r="Q37" s="83" t="s">
        <v>59</v>
      </c>
      <c r="R37" s="69" t="s">
        <v>15</v>
      </c>
      <c r="S37" s="38" t="s">
        <v>18</v>
      </c>
      <c r="T37" s="38"/>
      <c r="U37" s="38"/>
      <c r="V37" s="38"/>
      <c r="W37" s="38"/>
    </row>
    <row r="38" spans="1:23" ht="22.5" customHeight="1" x14ac:dyDescent="0.2">
      <c r="A38" s="40" t="s">
        <v>137</v>
      </c>
      <c r="B38" s="39" t="s">
        <v>138</v>
      </c>
      <c r="C38" s="40" t="s">
        <v>38</v>
      </c>
      <c r="D38" s="39" t="s">
        <v>10</v>
      </c>
      <c r="E38" s="3" t="s">
        <v>58</v>
      </c>
      <c r="F38" s="38" t="s">
        <v>19</v>
      </c>
      <c r="G38" s="81" t="s">
        <v>105</v>
      </c>
      <c r="H38" s="41">
        <v>1</v>
      </c>
      <c r="I38" s="68"/>
      <c r="J38" s="86"/>
      <c r="K38" s="51"/>
      <c r="L38" s="51" t="str">
        <f t="shared" si="4"/>
        <v/>
      </c>
      <c r="M38" s="70"/>
      <c r="N38" s="51">
        <v>0.125</v>
      </c>
      <c r="O38" s="70">
        <f t="shared" si="6"/>
        <v>0</v>
      </c>
      <c r="P38" s="71"/>
      <c r="Q38" s="83" t="s">
        <v>59</v>
      </c>
      <c r="R38" s="69" t="s">
        <v>15</v>
      </c>
      <c r="S38" s="38" t="s">
        <v>29</v>
      </c>
      <c r="T38" s="38"/>
      <c r="U38" s="38"/>
      <c r="V38" s="38"/>
      <c r="W38" s="38"/>
    </row>
    <row r="39" spans="1:23" ht="22.5" customHeight="1" x14ac:dyDescent="0.2">
      <c r="A39" s="40" t="s">
        <v>137</v>
      </c>
      <c r="B39" s="39" t="s">
        <v>138</v>
      </c>
      <c r="C39" s="40" t="s">
        <v>38</v>
      </c>
      <c r="D39" s="39" t="s">
        <v>10</v>
      </c>
      <c r="E39" s="3" t="s">
        <v>58</v>
      </c>
      <c r="F39" s="38" t="s">
        <v>25</v>
      </c>
      <c r="G39" s="81" t="s">
        <v>106</v>
      </c>
      <c r="H39" s="41">
        <v>1</v>
      </c>
      <c r="I39" s="68"/>
      <c r="J39" s="86"/>
      <c r="K39" s="51"/>
      <c r="L39" s="51" t="str">
        <f t="shared" si="4"/>
        <v/>
      </c>
      <c r="M39" s="70"/>
      <c r="N39" s="51">
        <v>0.125</v>
      </c>
      <c r="O39" s="70">
        <f t="shared" si="6"/>
        <v>0</v>
      </c>
      <c r="P39" s="71"/>
      <c r="Q39" s="83" t="s">
        <v>60</v>
      </c>
      <c r="R39" s="69" t="s">
        <v>24</v>
      </c>
      <c r="S39" s="38" t="s">
        <v>16</v>
      </c>
      <c r="T39" s="38"/>
      <c r="U39" s="38"/>
      <c r="V39" s="38"/>
      <c r="W39" s="38"/>
    </row>
    <row r="40" spans="1:23" ht="22.5" customHeight="1" x14ac:dyDescent="0.2">
      <c r="A40" s="40" t="s">
        <v>137</v>
      </c>
      <c r="B40" s="39" t="s">
        <v>138</v>
      </c>
      <c r="C40" s="40" t="s">
        <v>38</v>
      </c>
      <c r="D40" s="39" t="s">
        <v>10</v>
      </c>
      <c r="E40" s="3" t="s">
        <v>58</v>
      </c>
      <c r="F40" s="38" t="s">
        <v>27</v>
      </c>
      <c r="G40" s="81" t="s">
        <v>107</v>
      </c>
      <c r="H40" s="41">
        <v>1</v>
      </c>
      <c r="I40" s="68"/>
      <c r="J40" s="88"/>
      <c r="K40" s="51"/>
      <c r="L40" s="51" t="str">
        <f t="shared" si="4"/>
        <v/>
      </c>
      <c r="M40" s="70"/>
      <c r="N40" s="51">
        <v>0.125</v>
      </c>
      <c r="O40" s="70">
        <f t="shared" si="6"/>
        <v>0</v>
      </c>
      <c r="P40" s="71"/>
      <c r="Q40" s="83" t="s">
        <v>60</v>
      </c>
      <c r="R40" s="69" t="s">
        <v>24</v>
      </c>
      <c r="S40" s="38" t="s">
        <v>18</v>
      </c>
      <c r="T40" s="38"/>
      <c r="U40" s="38"/>
      <c r="V40" s="38"/>
      <c r="W40" s="38"/>
    </row>
    <row r="41" spans="1:23" ht="22.5" customHeight="1" x14ac:dyDescent="0.2">
      <c r="A41" s="40" t="s">
        <v>137</v>
      </c>
      <c r="B41" s="39" t="s">
        <v>138</v>
      </c>
      <c r="C41" s="40" t="s">
        <v>38</v>
      </c>
      <c r="D41" s="39" t="s">
        <v>10</v>
      </c>
      <c r="E41" s="3" t="s">
        <v>58</v>
      </c>
      <c r="F41" s="38" t="s">
        <v>28</v>
      </c>
      <c r="G41" s="85" t="s">
        <v>108</v>
      </c>
      <c r="H41" s="41">
        <v>1</v>
      </c>
      <c r="I41" s="89"/>
      <c r="J41" s="86"/>
      <c r="K41" s="83"/>
      <c r="L41" s="83" t="str">
        <f t="shared" si="4"/>
        <v/>
      </c>
      <c r="M41" s="70"/>
      <c r="N41" s="51">
        <v>0.125</v>
      </c>
      <c r="O41" s="70">
        <f t="shared" si="6"/>
        <v>0</v>
      </c>
      <c r="P41" s="71"/>
      <c r="Q41" s="83" t="s">
        <v>60</v>
      </c>
      <c r="R41" s="69" t="s">
        <v>24</v>
      </c>
      <c r="S41" s="38" t="s">
        <v>29</v>
      </c>
      <c r="T41" s="38"/>
      <c r="U41" s="38"/>
      <c r="V41" s="38"/>
      <c r="W41" s="38"/>
    </row>
    <row r="42" spans="1:23" ht="22.5" customHeight="1" x14ac:dyDescent="0.2">
      <c r="A42" s="40" t="s">
        <v>137</v>
      </c>
      <c r="B42" s="39" t="s">
        <v>138</v>
      </c>
      <c r="C42" s="40" t="s">
        <v>38</v>
      </c>
      <c r="D42" s="39" t="s">
        <v>10</v>
      </c>
      <c r="E42" s="3" t="s">
        <v>58</v>
      </c>
      <c r="F42" s="38" t="s">
        <v>44</v>
      </c>
      <c r="G42" s="81" t="s">
        <v>109</v>
      </c>
      <c r="H42" s="41">
        <v>1</v>
      </c>
      <c r="I42" s="89"/>
      <c r="J42" s="86"/>
      <c r="K42" s="83"/>
      <c r="L42" s="83"/>
      <c r="M42" s="70"/>
      <c r="N42" s="51">
        <v>0.125</v>
      </c>
      <c r="O42" s="70">
        <f t="shared" si="6"/>
        <v>0</v>
      </c>
      <c r="P42" s="71"/>
      <c r="Q42" s="83" t="s">
        <v>61</v>
      </c>
      <c r="R42" s="69" t="s">
        <v>24</v>
      </c>
      <c r="S42" s="38" t="s">
        <v>29</v>
      </c>
      <c r="T42" s="38"/>
      <c r="U42" s="38"/>
      <c r="V42" s="38"/>
      <c r="W42" s="38"/>
    </row>
    <row r="43" spans="1:23" ht="22.5" customHeight="1" x14ac:dyDescent="0.2">
      <c r="A43" s="40" t="s">
        <v>137</v>
      </c>
      <c r="B43" s="39" t="s">
        <v>138</v>
      </c>
      <c r="C43" s="40" t="s">
        <v>38</v>
      </c>
      <c r="D43" s="39" t="s">
        <v>10</v>
      </c>
      <c r="E43" s="3" t="s">
        <v>58</v>
      </c>
      <c r="F43" s="38" t="s">
        <v>45</v>
      </c>
      <c r="G43" s="85" t="s">
        <v>110</v>
      </c>
      <c r="H43" s="41">
        <v>1</v>
      </c>
      <c r="I43" s="89"/>
      <c r="J43" s="86"/>
      <c r="K43" s="83"/>
      <c r="L43" s="83"/>
      <c r="M43" s="70"/>
      <c r="N43" s="51">
        <v>0.125</v>
      </c>
      <c r="O43" s="70">
        <f t="shared" si="6"/>
        <v>0</v>
      </c>
      <c r="P43" s="71"/>
      <c r="Q43" s="83" t="s">
        <v>42</v>
      </c>
      <c r="R43" s="69" t="s">
        <v>15</v>
      </c>
      <c r="S43" s="38" t="s">
        <v>49</v>
      </c>
      <c r="T43" s="38"/>
      <c r="U43" s="38"/>
      <c r="V43" s="38"/>
      <c r="W43" s="38"/>
    </row>
    <row r="44" spans="1:23" ht="22.5" customHeight="1" x14ac:dyDescent="0.2">
      <c r="A44" s="40" t="s">
        <v>137</v>
      </c>
      <c r="B44" s="39" t="s">
        <v>138</v>
      </c>
      <c r="C44" s="40" t="s">
        <v>38</v>
      </c>
      <c r="D44" s="39" t="s">
        <v>10</v>
      </c>
      <c r="E44" s="3" t="s">
        <v>58</v>
      </c>
      <c r="F44" s="38" t="s">
        <v>52</v>
      </c>
      <c r="G44" s="81" t="s">
        <v>111</v>
      </c>
      <c r="H44" s="41">
        <v>1</v>
      </c>
      <c r="I44" s="89"/>
      <c r="J44" s="86"/>
      <c r="K44" s="83"/>
      <c r="L44" s="83"/>
      <c r="M44" s="70"/>
      <c r="N44" s="51">
        <v>0.125</v>
      </c>
      <c r="O44" s="70">
        <f t="shared" si="6"/>
        <v>0</v>
      </c>
      <c r="P44" s="71"/>
      <c r="Q44" s="83" t="s">
        <v>53</v>
      </c>
      <c r="R44" s="69" t="s">
        <v>15</v>
      </c>
      <c r="S44" s="38" t="s">
        <v>37</v>
      </c>
      <c r="T44" s="38"/>
      <c r="U44" s="38"/>
      <c r="V44" s="38"/>
      <c r="W44" s="38"/>
    </row>
    <row r="45" spans="1:23" ht="22.5" customHeight="1" x14ac:dyDescent="0.2">
      <c r="A45" s="40"/>
      <c r="B45" s="39"/>
      <c r="C45" s="40"/>
      <c r="D45" s="39"/>
      <c r="E45" s="38"/>
      <c r="F45" s="38"/>
      <c r="G45" s="87"/>
      <c r="H45" s="41"/>
      <c r="I45" s="89"/>
      <c r="J45" s="86"/>
      <c r="K45" s="83"/>
      <c r="L45" s="83"/>
      <c r="M45" s="70"/>
      <c r="N45" s="51"/>
      <c r="O45" s="83"/>
      <c r="P45" s="71"/>
      <c r="Q45" s="83"/>
      <c r="R45" s="82"/>
      <c r="S45" s="38"/>
      <c r="T45" s="38"/>
      <c r="U45" s="38"/>
      <c r="V45" s="38"/>
      <c r="W45" s="38"/>
    </row>
    <row r="46" spans="1:23" ht="22.5" customHeight="1" x14ac:dyDescent="0.2">
      <c r="A46" s="40" t="s">
        <v>137</v>
      </c>
      <c r="B46" s="39" t="s">
        <v>138</v>
      </c>
      <c r="C46" s="40" t="s">
        <v>38</v>
      </c>
      <c r="D46" s="39" t="s">
        <v>10</v>
      </c>
      <c r="E46" s="3" t="s">
        <v>62</v>
      </c>
      <c r="F46" s="38" t="s">
        <v>13</v>
      </c>
      <c r="G46" s="81" t="s">
        <v>112</v>
      </c>
      <c r="H46" s="41">
        <v>1</v>
      </c>
      <c r="I46" s="89"/>
      <c r="J46" s="86"/>
      <c r="K46" s="83"/>
      <c r="L46" s="83"/>
      <c r="M46" s="70"/>
      <c r="N46" s="51">
        <v>0.125</v>
      </c>
      <c r="O46" s="90">
        <f t="shared" ref="O46:O48" si="7">M46-K46</f>
        <v>0</v>
      </c>
      <c r="P46" s="71"/>
      <c r="Q46" s="83" t="s">
        <v>63</v>
      </c>
      <c r="R46" s="69" t="s">
        <v>15</v>
      </c>
      <c r="S46" s="38" t="s">
        <v>16</v>
      </c>
      <c r="T46" s="38"/>
      <c r="U46" s="38"/>
      <c r="V46" s="38"/>
      <c r="W46" s="38"/>
    </row>
    <row r="47" spans="1:23" ht="22.5" customHeight="1" x14ac:dyDescent="0.2">
      <c r="A47" s="40" t="s">
        <v>137</v>
      </c>
      <c r="B47" s="39" t="s">
        <v>138</v>
      </c>
      <c r="C47" s="40" t="s">
        <v>38</v>
      </c>
      <c r="D47" s="39" t="s">
        <v>10</v>
      </c>
      <c r="E47" s="3" t="s">
        <v>62</v>
      </c>
      <c r="F47" s="38" t="s">
        <v>17</v>
      </c>
      <c r="G47" s="81" t="s">
        <v>113</v>
      </c>
      <c r="H47" s="41">
        <v>1</v>
      </c>
      <c r="I47" s="89"/>
      <c r="J47" s="86"/>
      <c r="K47" s="83"/>
      <c r="L47" s="83"/>
      <c r="M47" s="70"/>
      <c r="N47" s="51">
        <v>0.125</v>
      </c>
      <c r="O47" s="70">
        <f t="shared" si="7"/>
        <v>0</v>
      </c>
      <c r="P47" s="71"/>
      <c r="Q47" s="83" t="s">
        <v>63</v>
      </c>
      <c r="R47" s="69" t="s">
        <v>15</v>
      </c>
      <c r="S47" s="38" t="s">
        <v>64</v>
      </c>
      <c r="T47" s="38"/>
      <c r="U47" s="38"/>
      <c r="V47" s="38"/>
      <c r="W47" s="38"/>
    </row>
    <row r="48" spans="1:23" ht="22.5" customHeight="1" x14ac:dyDescent="0.2">
      <c r="A48" s="40" t="s">
        <v>137</v>
      </c>
      <c r="B48" s="39" t="s">
        <v>138</v>
      </c>
      <c r="C48" s="40" t="s">
        <v>38</v>
      </c>
      <c r="D48" s="39" t="s">
        <v>10</v>
      </c>
      <c r="E48" s="3" t="s">
        <v>62</v>
      </c>
      <c r="F48" s="38" t="s">
        <v>19</v>
      </c>
      <c r="G48" s="81" t="s">
        <v>114</v>
      </c>
      <c r="H48" s="41">
        <v>1</v>
      </c>
      <c r="I48" s="89"/>
      <c r="J48" s="86"/>
      <c r="K48" s="83"/>
      <c r="L48" s="83"/>
      <c r="M48" s="70"/>
      <c r="N48" s="51">
        <v>0.125</v>
      </c>
      <c r="O48" s="90">
        <f t="shared" si="7"/>
        <v>0</v>
      </c>
      <c r="P48" s="71"/>
      <c r="Q48" s="83" t="s">
        <v>63</v>
      </c>
      <c r="R48" s="69" t="s">
        <v>24</v>
      </c>
      <c r="S48" s="38" t="s">
        <v>16</v>
      </c>
      <c r="T48" s="38"/>
      <c r="U48" s="38"/>
      <c r="V48" s="38"/>
      <c r="W48" s="38"/>
    </row>
    <row r="49" spans="1:23" ht="22.5" customHeight="1" x14ac:dyDescent="0.2">
      <c r="A49" s="40"/>
      <c r="B49" s="39"/>
      <c r="C49" s="40"/>
      <c r="D49" s="39"/>
      <c r="E49" s="38"/>
      <c r="F49" s="38"/>
      <c r="G49" s="91"/>
      <c r="H49" s="41"/>
      <c r="I49" s="89"/>
      <c r="J49" s="86"/>
      <c r="K49" s="83"/>
      <c r="L49" s="83"/>
      <c r="M49" s="70"/>
      <c r="N49" s="51"/>
      <c r="O49" s="83"/>
      <c r="P49" s="71"/>
      <c r="Q49" s="92"/>
      <c r="R49" s="82"/>
      <c r="S49" s="38"/>
      <c r="T49" s="38"/>
      <c r="U49" s="38"/>
      <c r="V49" s="38"/>
      <c r="W49" s="38"/>
    </row>
    <row r="50" spans="1:23" ht="22.5" customHeight="1" x14ac:dyDescent="0.2">
      <c r="A50" s="40" t="s">
        <v>137</v>
      </c>
      <c r="B50" s="39" t="s">
        <v>138</v>
      </c>
      <c r="C50" s="40" t="s">
        <v>38</v>
      </c>
      <c r="D50" s="39" t="s">
        <v>10</v>
      </c>
      <c r="E50" s="3" t="s">
        <v>65</v>
      </c>
      <c r="F50" s="38" t="s">
        <v>13</v>
      </c>
      <c r="G50" s="81" t="s">
        <v>115</v>
      </c>
      <c r="H50" s="41">
        <v>1</v>
      </c>
      <c r="I50" s="89"/>
      <c r="J50" s="86"/>
      <c r="K50" s="83"/>
      <c r="L50" s="83"/>
      <c r="M50" s="70"/>
      <c r="N50" s="51">
        <v>0.125</v>
      </c>
      <c r="O50" s="90">
        <f>M50-K50</f>
        <v>0</v>
      </c>
      <c r="P50" s="71"/>
      <c r="Q50" s="83" t="s">
        <v>14</v>
      </c>
      <c r="R50" s="69" t="s">
        <v>15</v>
      </c>
      <c r="S50" s="38" t="s">
        <v>29</v>
      </c>
      <c r="T50" s="38"/>
      <c r="U50" s="38"/>
      <c r="V50" s="38"/>
      <c r="W50" s="38"/>
    </row>
    <row r="51" spans="1:23" ht="22.5" customHeight="1" x14ac:dyDescent="0.2">
      <c r="A51" s="40"/>
      <c r="B51" s="39"/>
      <c r="C51" s="40"/>
      <c r="D51" s="39"/>
      <c r="E51" s="38"/>
      <c r="F51" s="38"/>
      <c r="G51" s="91"/>
      <c r="H51" s="41"/>
      <c r="I51" s="89"/>
      <c r="J51" s="86"/>
      <c r="K51" s="83"/>
      <c r="L51" s="83"/>
      <c r="M51" s="70"/>
      <c r="N51" s="51"/>
      <c r="O51" s="83"/>
      <c r="P51" s="71"/>
      <c r="Q51" s="93"/>
      <c r="R51" s="82"/>
      <c r="S51" s="38"/>
      <c r="T51" s="38"/>
      <c r="U51" s="38"/>
      <c r="V51" s="38"/>
      <c r="W51" s="38"/>
    </row>
    <row r="52" spans="1:23" ht="22.5" customHeight="1" x14ac:dyDescent="0.2">
      <c r="A52" s="40" t="s">
        <v>137</v>
      </c>
      <c r="B52" s="39" t="s">
        <v>138</v>
      </c>
      <c r="C52" s="40" t="s">
        <v>38</v>
      </c>
      <c r="D52" s="39" t="s">
        <v>10</v>
      </c>
      <c r="E52" s="3" t="s">
        <v>66</v>
      </c>
      <c r="F52" s="38" t="s">
        <v>13</v>
      </c>
      <c r="G52" s="81" t="s">
        <v>116</v>
      </c>
      <c r="H52" s="41">
        <v>1</v>
      </c>
      <c r="I52" s="89"/>
      <c r="J52" s="86"/>
      <c r="K52" s="83"/>
      <c r="L52" s="83"/>
      <c r="M52" s="70"/>
      <c r="N52" s="51">
        <v>0.125</v>
      </c>
      <c r="O52" s="90">
        <f>M52-K52</f>
        <v>0</v>
      </c>
      <c r="P52" s="71"/>
      <c r="Q52" s="83" t="s">
        <v>48</v>
      </c>
      <c r="R52" s="69" t="s">
        <v>24</v>
      </c>
      <c r="S52" s="38" t="s">
        <v>67</v>
      </c>
      <c r="T52" s="38"/>
      <c r="U52" s="38"/>
      <c r="V52" s="38"/>
      <c r="W52" s="38"/>
    </row>
    <row r="53" spans="1:23" ht="22.5" customHeight="1" x14ac:dyDescent="0.2">
      <c r="A53" s="40"/>
      <c r="B53" s="39"/>
      <c r="C53" s="40"/>
      <c r="D53" s="39"/>
      <c r="E53" s="38"/>
      <c r="F53" s="38"/>
      <c r="G53" s="91"/>
      <c r="H53" s="41"/>
      <c r="I53" s="89"/>
      <c r="J53" s="86"/>
      <c r="K53" s="83"/>
      <c r="L53" s="83"/>
      <c r="M53" s="70"/>
      <c r="N53" s="51"/>
      <c r="O53" s="83"/>
      <c r="P53" s="71"/>
      <c r="Q53" s="93"/>
      <c r="R53" s="82"/>
      <c r="S53" s="38"/>
      <c r="T53" s="38"/>
      <c r="U53" s="38"/>
      <c r="V53" s="38"/>
      <c r="W53" s="38"/>
    </row>
    <row r="54" spans="1:23" ht="22.5" customHeight="1" x14ac:dyDescent="0.2">
      <c r="A54" s="40" t="s">
        <v>137</v>
      </c>
      <c r="B54" s="39" t="s">
        <v>138</v>
      </c>
      <c r="C54" s="40" t="s">
        <v>38</v>
      </c>
      <c r="D54" s="39" t="s">
        <v>10</v>
      </c>
      <c r="E54" s="3" t="s">
        <v>68</v>
      </c>
      <c r="F54" s="38" t="s">
        <v>13</v>
      </c>
      <c r="G54" s="81" t="s">
        <v>117</v>
      </c>
      <c r="H54" s="41">
        <v>1</v>
      </c>
      <c r="I54" s="89"/>
      <c r="J54" s="86"/>
      <c r="K54" s="83"/>
      <c r="L54" s="83"/>
      <c r="M54" s="70"/>
      <c r="N54" s="51">
        <v>0.125</v>
      </c>
      <c r="O54" s="90">
        <f>M54-K54</f>
        <v>0</v>
      </c>
      <c r="P54" s="71"/>
      <c r="Q54" s="83" t="s">
        <v>48</v>
      </c>
      <c r="R54" s="69" t="s">
        <v>24</v>
      </c>
      <c r="S54" s="38" t="s">
        <v>16</v>
      </c>
      <c r="T54" s="38"/>
      <c r="U54" s="38"/>
      <c r="V54" s="38"/>
      <c r="W54" s="38"/>
    </row>
    <row r="55" spans="1:23" ht="22.5" customHeight="1" x14ac:dyDescent="0.2">
      <c r="A55" s="40"/>
      <c r="B55" s="39"/>
      <c r="C55" s="40"/>
      <c r="D55" s="39"/>
      <c r="E55" s="38"/>
      <c r="F55" s="38"/>
      <c r="G55" s="91"/>
      <c r="H55" s="41"/>
      <c r="I55" s="89"/>
      <c r="J55" s="86"/>
      <c r="K55" s="83"/>
      <c r="L55" s="83"/>
      <c r="M55" s="70"/>
      <c r="N55" s="51"/>
      <c r="O55" s="83"/>
      <c r="P55" s="71"/>
      <c r="Q55" s="93"/>
      <c r="R55" s="82"/>
      <c r="S55" s="38"/>
      <c r="T55" s="38"/>
      <c r="U55" s="38"/>
      <c r="V55" s="38"/>
      <c r="W55" s="38"/>
    </row>
    <row r="56" spans="1:23" ht="22.5" customHeight="1" x14ac:dyDescent="0.2">
      <c r="A56" s="40" t="s">
        <v>137</v>
      </c>
      <c r="B56" s="39" t="s">
        <v>138</v>
      </c>
      <c r="C56" s="40" t="s">
        <v>38</v>
      </c>
      <c r="D56" s="39" t="s">
        <v>10</v>
      </c>
      <c r="E56" s="3" t="s">
        <v>69</v>
      </c>
      <c r="F56" s="38" t="s">
        <v>13</v>
      </c>
      <c r="G56" s="85" t="s">
        <v>118</v>
      </c>
      <c r="H56" s="41">
        <v>1</v>
      </c>
      <c r="I56" s="89"/>
      <c r="J56" s="86"/>
      <c r="K56" s="83"/>
      <c r="L56" s="83"/>
      <c r="M56" s="70"/>
      <c r="N56" s="51">
        <v>0.125</v>
      </c>
      <c r="O56" s="90">
        <f>M56-K56</f>
        <v>0</v>
      </c>
      <c r="P56" s="71"/>
      <c r="Q56" s="83" t="s">
        <v>42</v>
      </c>
      <c r="R56" s="69" t="s">
        <v>24</v>
      </c>
      <c r="S56" s="38" t="s">
        <v>18</v>
      </c>
      <c r="T56" s="38"/>
      <c r="U56" s="38"/>
      <c r="V56" s="38"/>
      <c r="W56" s="38"/>
    </row>
    <row r="57" spans="1:23" ht="22.5" customHeight="1" x14ac:dyDescent="0.2">
      <c r="A57" s="40"/>
      <c r="B57" s="39"/>
      <c r="C57" s="40"/>
      <c r="D57" s="39"/>
      <c r="E57" s="38"/>
      <c r="F57" s="38"/>
      <c r="G57" s="91"/>
      <c r="H57" s="41"/>
      <c r="I57" s="89"/>
      <c r="J57" s="86"/>
      <c r="K57" s="83"/>
      <c r="L57" s="83"/>
      <c r="M57" s="70"/>
      <c r="N57" s="51"/>
      <c r="O57" s="83"/>
      <c r="P57" s="71"/>
      <c r="Q57" s="93"/>
      <c r="R57" s="82"/>
      <c r="S57" s="38"/>
      <c r="T57" s="38"/>
      <c r="U57" s="38"/>
      <c r="V57" s="38"/>
      <c r="W57" s="38"/>
    </row>
    <row r="58" spans="1:23" ht="22.5" customHeight="1" x14ac:dyDescent="0.2">
      <c r="A58" s="40" t="s">
        <v>137</v>
      </c>
      <c r="B58" s="39" t="s">
        <v>138</v>
      </c>
      <c r="C58" s="40" t="s">
        <v>38</v>
      </c>
      <c r="D58" s="39" t="s">
        <v>10</v>
      </c>
      <c r="E58" s="3" t="s">
        <v>70</v>
      </c>
      <c r="F58" s="38" t="s">
        <v>13</v>
      </c>
      <c r="G58" s="81" t="s">
        <v>119</v>
      </c>
      <c r="H58" s="41">
        <v>1</v>
      </c>
      <c r="I58" s="89"/>
      <c r="J58" s="86"/>
      <c r="K58" s="83"/>
      <c r="L58" s="83"/>
      <c r="M58" s="70"/>
      <c r="N58" s="51">
        <v>0.125</v>
      </c>
      <c r="O58" s="90">
        <f t="shared" ref="O58:O60" si="8">M58-K58</f>
        <v>0</v>
      </c>
      <c r="P58" s="71"/>
      <c r="Q58" s="83" t="s">
        <v>71</v>
      </c>
      <c r="R58" s="94" t="s">
        <v>24</v>
      </c>
      <c r="S58" s="38" t="s">
        <v>30</v>
      </c>
      <c r="T58" s="38"/>
      <c r="U58" s="38"/>
      <c r="V58" s="38"/>
      <c r="W58" s="38"/>
    </row>
    <row r="59" spans="1:23" ht="22.5" customHeight="1" x14ac:dyDescent="0.2">
      <c r="A59" s="40" t="s">
        <v>137</v>
      </c>
      <c r="B59" s="39" t="s">
        <v>138</v>
      </c>
      <c r="C59" s="40" t="s">
        <v>38</v>
      </c>
      <c r="D59" s="39" t="s">
        <v>10</v>
      </c>
      <c r="E59" s="3" t="s">
        <v>72</v>
      </c>
      <c r="F59" s="38" t="s">
        <v>13</v>
      </c>
      <c r="G59" s="81" t="s">
        <v>120</v>
      </c>
      <c r="H59" s="41">
        <v>1</v>
      </c>
      <c r="I59" s="89"/>
      <c r="J59" s="86"/>
      <c r="K59" s="83"/>
      <c r="L59" s="83"/>
      <c r="M59" s="70"/>
      <c r="N59" s="51">
        <v>0.125</v>
      </c>
      <c r="O59" s="70">
        <f t="shared" si="8"/>
        <v>0</v>
      </c>
      <c r="P59" s="71"/>
      <c r="Q59" s="83" t="s">
        <v>46</v>
      </c>
      <c r="R59" s="94" t="s">
        <v>24</v>
      </c>
      <c r="S59" s="38" t="s">
        <v>18</v>
      </c>
      <c r="T59" s="38"/>
      <c r="U59" s="38"/>
      <c r="V59" s="38"/>
      <c r="W59" s="38"/>
    </row>
    <row r="60" spans="1:23" ht="22.5" customHeight="1" x14ac:dyDescent="0.2">
      <c r="A60" s="40" t="s">
        <v>137</v>
      </c>
      <c r="B60" s="39" t="s">
        <v>138</v>
      </c>
      <c r="C60" s="40" t="s">
        <v>38</v>
      </c>
      <c r="D60" s="39" t="s">
        <v>10</v>
      </c>
      <c r="E60" s="3" t="s">
        <v>72</v>
      </c>
      <c r="F60" s="38" t="s">
        <v>17</v>
      </c>
      <c r="G60" s="81" t="s">
        <v>121</v>
      </c>
      <c r="H60" s="41">
        <v>1</v>
      </c>
      <c r="I60" s="89"/>
      <c r="J60" s="86"/>
      <c r="K60" s="83"/>
      <c r="L60" s="83"/>
      <c r="M60" s="70"/>
      <c r="N60" s="51">
        <v>0.125</v>
      </c>
      <c r="O60" s="90">
        <f t="shared" si="8"/>
        <v>0</v>
      </c>
      <c r="P60" s="71"/>
      <c r="Q60" s="83" t="s">
        <v>71</v>
      </c>
      <c r="R60" s="94" t="s">
        <v>15</v>
      </c>
      <c r="S60" s="38" t="s">
        <v>49</v>
      </c>
      <c r="T60" s="38"/>
      <c r="U60" s="38"/>
      <c r="V60" s="38"/>
      <c r="W60" s="38"/>
    </row>
    <row r="61" spans="1:23" ht="22.5" customHeight="1" x14ac:dyDescent="0.2">
      <c r="A61" s="40"/>
      <c r="B61" s="39"/>
      <c r="C61" s="40"/>
      <c r="D61" s="39"/>
      <c r="E61" s="38"/>
      <c r="F61" s="38"/>
      <c r="G61" s="91"/>
      <c r="H61" s="41"/>
      <c r="I61" s="89"/>
      <c r="J61" s="86"/>
      <c r="K61" s="83"/>
      <c r="L61" s="83"/>
      <c r="M61" s="70"/>
      <c r="N61" s="51"/>
      <c r="O61" s="83"/>
      <c r="P61" s="71"/>
      <c r="Q61" s="93"/>
      <c r="R61" s="95"/>
      <c r="S61" s="96"/>
      <c r="T61" s="38"/>
      <c r="U61" s="38"/>
      <c r="V61" s="38"/>
      <c r="W61" s="38"/>
    </row>
    <row r="62" spans="1:23" ht="22.5" customHeight="1" x14ac:dyDescent="0.2">
      <c r="A62" s="40" t="s">
        <v>137</v>
      </c>
      <c r="B62" s="39" t="s">
        <v>138</v>
      </c>
      <c r="C62" s="40" t="s">
        <v>38</v>
      </c>
      <c r="D62" s="39" t="s">
        <v>10</v>
      </c>
      <c r="E62" s="38" t="s">
        <v>73</v>
      </c>
      <c r="F62" s="38" t="s">
        <v>13</v>
      </c>
      <c r="G62" s="81" t="s">
        <v>122</v>
      </c>
      <c r="H62" s="41">
        <v>1</v>
      </c>
      <c r="I62" s="89"/>
      <c r="J62" s="86"/>
      <c r="K62" s="83"/>
      <c r="L62" s="83"/>
      <c r="M62" s="70"/>
      <c r="N62" s="51">
        <v>0.125</v>
      </c>
      <c r="O62" s="90">
        <f>M62-K62</f>
        <v>0</v>
      </c>
      <c r="P62" s="71"/>
      <c r="Q62" s="83" t="s">
        <v>23</v>
      </c>
      <c r="R62" s="94" t="s">
        <v>24</v>
      </c>
      <c r="S62" s="38" t="s">
        <v>18</v>
      </c>
      <c r="T62" s="38"/>
      <c r="U62" s="38"/>
      <c r="V62" s="38"/>
      <c r="W62" s="38"/>
    </row>
    <row r="63" spans="1:23" ht="22.5" customHeight="1" x14ac:dyDescent="0.2">
      <c r="B63" s="42"/>
      <c r="D63" s="97"/>
      <c r="E63" s="38"/>
      <c r="F63" s="38"/>
      <c r="G63" s="98"/>
      <c r="H63" s="17">
        <f>SUM(AGOSTO_2[SESION])</f>
        <v>48</v>
      </c>
      <c r="I63" s="18"/>
      <c r="J63" s="99"/>
      <c r="K63" s="43"/>
      <c r="L63" s="43"/>
      <c r="M63" s="43"/>
      <c r="N63" s="43"/>
      <c r="O63" s="43"/>
      <c r="P63" s="52"/>
      <c r="Q63" s="13"/>
      <c r="R63" s="99"/>
      <c r="S63" s="19"/>
      <c r="T63" s="19"/>
      <c r="U63" s="19"/>
      <c r="V63" s="19"/>
      <c r="W63" s="19"/>
    </row>
    <row r="64" spans="1:23" ht="12.75" x14ac:dyDescent="0.2">
      <c r="B64" s="20"/>
      <c r="D64" s="20"/>
      <c r="E64" s="21"/>
      <c r="F64" s="21"/>
      <c r="G64" s="100"/>
      <c r="H64" s="46"/>
      <c r="I64" s="101"/>
      <c r="J64" s="20"/>
      <c r="P64" s="102"/>
      <c r="R64" s="20"/>
    </row>
    <row r="65" spans="1:18" ht="12.75" x14ac:dyDescent="0.2">
      <c r="D65" s="20"/>
      <c r="E65" s="21"/>
      <c r="F65" s="21"/>
      <c r="G65" s="100"/>
      <c r="H65" s="1"/>
      <c r="J65" s="20"/>
      <c r="P65" s="102"/>
      <c r="R65" s="20"/>
    </row>
    <row r="66" spans="1:18" ht="12.75" x14ac:dyDescent="0.2">
      <c r="D66" s="20"/>
      <c r="E66" s="21"/>
      <c r="F66" s="21"/>
      <c r="G66" s="100"/>
      <c r="H66" s="21"/>
      <c r="I66" s="20"/>
      <c r="J66" s="20"/>
      <c r="P66" s="102"/>
      <c r="R66" s="20"/>
    </row>
    <row r="67" spans="1:18" ht="12.75" x14ac:dyDescent="0.2">
      <c r="D67" s="20"/>
      <c r="E67" s="22"/>
      <c r="F67" s="22"/>
      <c r="G67" s="103"/>
      <c r="J67" s="20"/>
      <c r="P67" s="102"/>
      <c r="R67" s="20"/>
    </row>
    <row r="68" spans="1:18" ht="12.75" x14ac:dyDescent="0.2">
      <c r="D68" s="20"/>
      <c r="E68" s="22"/>
      <c r="F68" s="22"/>
      <c r="G68" s="103"/>
      <c r="J68" s="20"/>
      <c r="P68" s="102"/>
      <c r="R68" s="20"/>
    </row>
    <row r="69" spans="1:18" ht="12.75" x14ac:dyDescent="0.2">
      <c r="D69" s="20"/>
      <c r="E69" s="22"/>
      <c r="F69" s="22"/>
      <c r="G69" s="103"/>
      <c r="J69" s="20"/>
      <c r="P69" s="102"/>
      <c r="R69" s="20"/>
    </row>
    <row r="70" spans="1:18" ht="12.75" x14ac:dyDescent="0.2">
      <c r="D70" s="20"/>
      <c r="E70" s="22"/>
      <c r="F70" s="22"/>
      <c r="G70" s="103"/>
      <c r="J70" s="20"/>
      <c r="P70" s="102"/>
      <c r="R70" s="20"/>
    </row>
    <row r="71" spans="1:18" ht="12.75" x14ac:dyDescent="0.2">
      <c r="D71" s="20"/>
      <c r="E71" s="22"/>
      <c r="F71" s="22"/>
      <c r="G71" s="103"/>
      <c r="J71" s="20"/>
      <c r="P71" s="102"/>
      <c r="R71" s="20"/>
    </row>
    <row r="72" spans="1:18" ht="12.75" x14ac:dyDescent="0.2">
      <c r="D72" s="20"/>
      <c r="E72" s="22"/>
      <c r="F72" s="22"/>
      <c r="G72" s="103"/>
      <c r="J72" s="20"/>
      <c r="P72" s="102"/>
      <c r="R72" s="20"/>
    </row>
    <row r="73" spans="1:18" ht="12.75" x14ac:dyDescent="0.2">
      <c r="D73" s="20"/>
      <c r="E73" s="22"/>
      <c r="F73" s="22"/>
      <c r="G73" s="104"/>
      <c r="J73" s="20"/>
      <c r="P73" s="102"/>
      <c r="R73" s="20"/>
    </row>
    <row r="74" spans="1:18" ht="12.75" x14ac:dyDescent="0.2">
      <c r="D74" s="20"/>
      <c r="E74" s="22"/>
      <c r="F74" s="22"/>
      <c r="G74" s="103"/>
      <c r="J74" s="20"/>
      <c r="P74" s="102"/>
      <c r="R74" s="20"/>
    </row>
    <row r="75" spans="1:18" ht="12.75" x14ac:dyDescent="0.2">
      <c r="A75" s="105"/>
      <c r="C75" s="105"/>
      <c r="D75" s="106"/>
      <c r="E75" s="22"/>
      <c r="F75" s="22"/>
      <c r="G75" s="104"/>
      <c r="J75" s="20"/>
      <c r="P75" s="102"/>
      <c r="R75" s="20"/>
    </row>
    <row r="76" spans="1:18" ht="12.75" x14ac:dyDescent="0.2">
      <c r="D76" s="20"/>
      <c r="E76" s="22"/>
      <c r="F76" s="22"/>
      <c r="G76" s="103"/>
      <c r="J76" s="20"/>
      <c r="P76" s="102"/>
      <c r="R76" s="20"/>
    </row>
    <row r="77" spans="1:18" ht="12.75" x14ac:dyDescent="0.2">
      <c r="D77" s="20"/>
      <c r="E77" s="22"/>
      <c r="F77" s="22"/>
      <c r="G77" s="103"/>
      <c r="J77" s="20"/>
      <c r="P77" s="102"/>
      <c r="R77" s="20"/>
    </row>
    <row r="78" spans="1:18" ht="12.75" x14ac:dyDescent="0.2">
      <c r="A78" s="105"/>
      <c r="C78" s="105"/>
      <c r="D78" s="106"/>
      <c r="E78" s="22"/>
      <c r="F78" s="22"/>
      <c r="G78" s="104"/>
      <c r="J78" s="20"/>
      <c r="P78" s="102"/>
      <c r="R78" s="20"/>
    </row>
    <row r="79" spans="1:18" ht="12.75" x14ac:dyDescent="0.2">
      <c r="D79" s="20"/>
      <c r="E79" s="22"/>
      <c r="F79" s="22"/>
      <c r="G79" s="103"/>
      <c r="J79" s="20"/>
      <c r="P79" s="102"/>
      <c r="R79" s="20"/>
    </row>
    <row r="80" spans="1:18" ht="12.75" x14ac:dyDescent="0.2">
      <c r="D80" s="20"/>
      <c r="E80" s="22"/>
      <c r="F80" s="22"/>
      <c r="G80" s="103"/>
      <c r="J80" s="20"/>
      <c r="P80" s="102"/>
      <c r="R80" s="20"/>
    </row>
    <row r="81" spans="1:18" ht="12.75" x14ac:dyDescent="0.2">
      <c r="D81" s="20"/>
      <c r="E81" s="22"/>
      <c r="F81" s="22"/>
      <c r="G81" s="103"/>
      <c r="J81" s="20"/>
      <c r="P81" s="102"/>
      <c r="R81" s="20"/>
    </row>
    <row r="82" spans="1:18" ht="12.75" x14ac:dyDescent="0.2">
      <c r="D82" s="20"/>
      <c r="E82" s="22"/>
      <c r="F82" s="22"/>
      <c r="G82" s="103"/>
      <c r="J82" s="20"/>
      <c r="P82" s="102"/>
      <c r="R82" s="20"/>
    </row>
    <row r="83" spans="1:18" ht="12.75" x14ac:dyDescent="0.2">
      <c r="D83" s="20"/>
      <c r="E83" s="22"/>
      <c r="F83" s="22"/>
      <c r="G83" s="103"/>
      <c r="J83" s="20"/>
      <c r="P83" s="102"/>
      <c r="R83" s="20"/>
    </row>
    <row r="84" spans="1:18" ht="12.75" x14ac:dyDescent="0.2">
      <c r="D84" s="20"/>
      <c r="E84" s="22"/>
      <c r="F84" s="22"/>
      <c r="G84" s="103"/>
      <c r="J84" s="20"/>
      <c r="P84" s="102"/>
      <c r="R84" s="20"/>
    </row>
    <row r="85" spans="1:18" ht="12.75" x14ac:dyDescent="0.2">
      <c r="D85" s="20"/>
      <c r="E85" s="22"/>
      <c r="F85" s="22"/>
      <c r="G85" s="107"/>
      <c r="J85" s="20"/>
      <c r="P85" s="102"/>
      <c r="R85" s="20"/>
    </row>
    <row r="86" spans="1:18" ht="12.75" x14ac:dyDescent="0.2">
      <c r="A86" s="105"/>
      <c r="C86" s="105"/>
      <c r="D86" s="106"/>
      <c r="E86" s="22"/>
      <c r="F86" s="22"/>
      <c r="G86" s="107"/>
      <c r="J86" s="20"/>
      <c r="P86" s="102"/>
      <c r="R86" s="20"/>
    </row>
    <row r="87" spans="1:18" ht="12.75" x14ac:dyDescent="0.2">
      <c r="D87" s="20"/>
      <c r="E87" s="22"/>
      <c r="F87" s="22"/>
      <c r="G87" s="103"/>
      <c r="J87" s="20"/>
      <c r="P87" s="102"/>
      <c r="R87" s="20"/>
    </row>
    <row r="88" spans="1:18" ht="12.75" x14ac:dyDescent="0.2">
      <c r="D88" s="20"/>
      <c r="E88" s="21"/>
      <c r="F88" s="21"/>
      <c r="G88" s="100"/>
      <c r="J88" s="20"/>
      <c r="P88" s="102"/>
      <c r="R88" s="20"/>
    </row>
    <row r="89" spans="1:18" ht="12.75" x14ac:dyDescent="0.2">
      <c r="D89" s="20"/>
      <c r="E89" s="21"/>
      <c r="F89" s="21"/>
      <c r="G89" s="100"/>
      <c r="J89" s="20"/>
      <c r="P89" s="102"/>
      <c r="R89" s="20"/>
    </row>
    <row r="90" spans="1:18" ht="12.75" x14ac:dyDescent="0.2">
      <c r="A90" s="105"/>
      <c r="C90" s="105"/>
      <c r="D90" s="106"/>
      <c r="E90" s="21"/>
      <c r="F90" s="21"/>
      <c r="G90" s="108"/>
      <c r="J90" s="20"/>
      <c r="P90" s="102"/>
      <c r="R90" s="20"/>
    </row>
    <row r="91" spans="1:18" ht="12.75" x14ac:dyDescent="0.2">
      <c r="D91" s="20"/>
      <c r="E91" s="21"/>
      <c r="F91" s="21"/>
      <c r="G91" s="100"/>
      <c r="J91" s="20"/>
      <c r="P91" s="102"/>
      <c r="R91" s="20"/>
    </row>
    <row r="92" spans="1:18" ht="12.75" x14ac:dyDescent="0.2">
      <c r="A92" s="23"/>
      <c r="B92" s="23"/>
      <c r="C92" s="23"/>
      <c r="D92" s="36"/>
      <c r="E92" s="22"/>
      <c r="F92" s="22"/>
      <c r="G92" s="103"/>
      <c r="H92" s="23"/>
      <c r="J92" s="20"/>
      <c r="P92" s="102"/>
      <c r="R92" s="20"/>
    </row>
    <row r="93" spans="1:18" ht="12.75" x14ac:dyDescent="0.2">
      <c r="A93" s="23"/>
      <c r="B93" s="23"/>
      <c r="C93" s="23"/>
      <c r="D93" s="36"/>
      <c r="E93" s="22"/>
      <c r="F93" s="22"/>
      <c r="G93" s="109"/>
      <c r="H93" s="23"/>
      <c r="J93" s="20"/>
      <c r="P93" s="102"/>
      <c r="R93" s="20"/>
    </row>
    <row r="94" spans="1:18" ht="12.75" x14ac:dyDescent="0.2">
      <c r="A94" s="23"/>
      <c r="B94" s="23"/>
      <c r="C94" s="23"/>
      <c r="D94" s="36"/>
      <c r="E94" s="22"/>
      <c r="F94" s="22"/>
      <c r="G94" s="109"/>
      <c r="H94" s="23"/>
      <c r="J94" s="20"/>
      <c r="P94" s="102"/>
      <c r="R94" s="20"/>
    </row>
    <row r="95" spans="1:18" ht="12.75" x14ac:dyDescent="0.2">
      <c r="A95" s="23"/>
      <c r="B95" s="23"/>
      <c r="C95" s="23"/>
      <c r="D95" s="36"/>
      <c r="E95" s="22"/>
      <c r="F95" s="22"/>
      <c r="G95" s="109"/>
      <c r="H95" s="23"/>
      <c r="J95" s="20"/>
      <c r="P95" s="102"/>
      <c r="R95" s="20"/>
    </row>
    <row r="96" spans="1:18" ht="12.75" x14ac:dyDescent="0.2">
      <c r="A96" s="23"/>
      <c r="B96" s="23"/>
      <c r="C96" s="23"/>
      <c r="D96" s="36"/>
      <c r="E96" s="22"/>
      <c r="F96" s="22"/>
      <c r="G96" s="103"/>
      <c r="H96" s="23"/>
      <c r="J96" s="20"/>
      <c r="P96" s="102"/>
      <c r="R96" s="20"/>
    </row>
    <row r="97" spans="1:18" ht="12.75" x14ac:dyDescent="0.2">
      <c r="A97" s="23"/>
      <c r="B97" s="23"/>
      <c r="C97" s="23"/>
      <c r="D97" s="36"/>
      <c r="E97" s="22"/>
      <c r="F97" s="22"/>
      <c r="G97" s="104"/>
      <c r="H97" s="23"/>
      <c r="J97" s="20"/>
      <c r="P97" s="102"/>
      <c r="R97" s="20"/>
    </row>
    <row r="98" spans="1:18" ht="12.75" x14ac:dyDescent="0.2">
      <c r="A98" s="23"/>
      <c r="B98" s="23"/>
      <c r="C98" s="23"/>
      <c r="D98" s="36"/>
      <c r="E98" s="22"/>
      <c r="F98" s="22"/>
      <c r="G98" s="109"/>
      <c r="H98" s="23"/>
      <c r="J98" s="20"/>
      <c r="P98" s="102"/>
      <c r="R98" s="20"/>
    </row>
    <row r="99" spans="1:18" ht="12.75" x14ac:dyDescent="0.2">
      <c r="A99" s="23"/>
      <c r="B99" s="23"/>
      <c r="C99" s="23"/>
      <c r="D99" s="36"/>
      <c r="E99" s="22"/>
      <c r="F99" s="22"/>
      <c r="G99" s="103"/>
      <c r="H99" s="23"/>
      <c r="J99" s="20"/>
      <c r="P99" s="102"/>
      <c r="R99" s="20"/>
    </row>
    <row r="100" spans="1:18" ht="12.75" x14ac:dyDescent="0.2">
      <c r="A100" s="110"/>
      <c r="B100" s="23"/>
      <c r="C100" s="110"/>
      <c r="D100" s="111"/>
      <c r="E100" s="22"/>
      <c r="F100" s="22"/>
      <c r="G100" s="104"/>
      <c r="H100" s="23"/>
      <c r="J100" s="20"/>
      <c r="P100" s="102"/>
      <c r="R100" s="20"/>
    </row>
    <row r="101" spans="1:18" ht="12.75" x14ac:dyDescent="0.2">
      <c r="A101" s="23"/>
      <c r="B101" s="23"/>
      <c r="C101" s="23"/>
      <c r="D101" s="36"/>
      <c r="E101" s="22"/>
      <c r="F101" s="22"/>
      <c r="G101" s="103"/>
      <c r="H101" s="23"/>
      <c r="J101" s="20"/>
      <c r="P101" s="102"/>
      <c r="R101" s="20"/>
    </row>
    <row r="102" spans="1:18" ht="12.75" x14ac:dyDescent="0.2">
      <c r="A102" s="23"/>
      <c r="B102" s="23"/>
      <c r="C102" s="23"/>
      <c r="D102" s="36"/>
      <c r="E102" s="22"/>
      <c r="F102" s="22"/>
      <c r="G102" s="103"/>
      <c r="H102" s="23"/>
      <c r="J102" s="20"/>
      <c r="P102" s="102"/>
      <c r="R102" s="20"/>
    </row>
    <row r="103" spans="1:18" ht="12.75" x14ac:dyDescent="0.2">
      <c r="A103" s="23"/>
      <c r="B103" s="23"/>
      <c r="C103" s="23"/>
      <c r="D103" s="36"/>
      <c r="E103" s="22"/>
      <c r="F103" s="22"/>
      <c r="G103" s="103"/>
      <c r="H103" s="23"/>
      <c r="J103" s="20"/>
      <c r="P103" s="102"/>
      <c r="R103" s="20"/>
    </row>
    <row r="104" spans="1:18" ht="12.75" x14ac:dyDescent="0.2">
      <c r="A104" s="23"/>
      <c r="B104" s="23"/>
      <c r="C104" s="23"/>
      <c r="D104" s="36"/>
      <c r="E104" s="22"/>
      <c r="F104" s="22"/>
      <c r="G104" s="103"/>
      <c r="H104" s="23"/>
      <c r="J104" s="20"/>
      <c r="P104" s="102"/>
      <c r="R104" s="20"/>
    </row>
    <row r="105" spans="1:18" ht="12.75" x14ac:dyDescent="0.2">
      <c r="A105" s="23"/>
      <c r="B105" s="23"/>
      <c r="C105" s="23"/>
      <c r="D105" s="36"/>
      <c r="E105" s="22"/>
      <c r="F105" s="22"/>
      <c r="G105" s="103"/>
      <c r="H105" s="23"/>
      <c r="J105" s="20"/>
      <c r="P105" s="102"/>
      <c r="R105" s="20"/>
    </row>
    <row r="106" spans="1:18" ht="12.75" x14ac:dyDescent="0.2">
      <c r="A106" s="23"/>
      <c r="B106" s="23"/>
      <c r="C106" s="23"/>
      <c r="D106" s="36"/>
      <c r="E106" s="22"/>
      <c r="F106" s="22"/>
      <c r="G106" s="107"/>
      <c r="H106" s="23"/>
      <c r="J106" s="20"/>
      <c r="P106" s="20"/>
      <c r="R106" s="20"/>
    </row>
    <row r="107" spans="1:18" ht="12.75" x14ac:dyDescent="0.2">
      <c r="A107" s="23"/>
      <c r="B107" s="23"/>
      <c r="C107" s="23"/>
      <c r="D107" s="36"/>
      <c r="E107" s="22"/>
      <c r="F107" s="22"/>
      <c r="G107" s="109"/>
      <c r="H107" s="23"/>
      <c r="J107" s="20"/>
      <c r="P107" s="20"/>
      <c r="R107" s="20"/>
    </row>
    <row r="108" spans="1:18" ht="12.75" x14ac:dyDescent="0.2">
      <c r="A108" s="23"/>
      <c r="B108" s="23"/>
      <c r="C108" s="23"/>
      <c r="D108" s="36"/>
      <c r="E108" s="22"/>
      <c r="F108" s="22"/>
      <c r="G108" s="107"/>
      <c r="H108" s="23"/>
      <c r="J108" s="20"/>
      <c r="P108" s="20"/>
      <c r="R108" s="20"/>
    </row>
    <row r="109" spans="1:18" ht="12.75" x14ac:dyDescent="0.2">
      <c r="A109" s="23"/>
      <c r="B109" s="23"/>
      <c r="C109" s="23"/>
      <c r="D109" s="36"/>
      <c r="E109" s="22"/>
      <c r="F109" s="22"/>
      <c r="G109" s="109"/>
      <c r="H109" s="23"/>
      <c r="J109" s="20"/>
      <c r="P109" s="20"/>
      <c r="R109" s="20"/>
    </row>
    <row r="110" spans="1:18" ht="12.75" x14ac:dyDescent="0.2">
      <c r="A110" s="110"/>
      <c r="B110" s="23"/>
      <c r="C110" s="110"/>
      <c r="D110" s="111"/>
      <c r="E110" s="22"/>
      <c r="F110" s="22"/>
      <c r="G110" s="107"/>
      <c r="H110" s="23"/>
      <c r="J110" s="20"/>
      <c r="P110" s="20"/>
      <c r="R110" s="20"/>
    </row>
    <row r="111" spans="1:18" ht="12.75" x14ac:dyDescent="0.2">
      <c r="A111" s="23"/>
      <c r="B111" s="23"/>
      <c r="C111" s="23"/>
      <c r="D111" s="36"/>
      <c r="E111" s="22"/>
      <c r="F111" s="22"/>
      <c r="G111" s="107"/>
      <c r="H111" s="23"/>
      <c r="J111" s="20"/>
      <c r="P111" s="20"/>
      <c r="R111" s="20"/>
    </row>
    <row r="112" spans="1:18" ht="12.75" x14ac:dyDescent="0.2">
      <c r="A112" s="23"/>
      <c r="B112" s="23"/>
      <c r="C112" s="23"/>
      <c r="D112" s="36"/>
      <c r="E112" s="22"/>
      <c r="F112" s="22"/>
      <c r="G112" s="107"/>
      <c r="H112" s="23"/>
      <c r="J112" s="20"/>
      <c r="P112" s="20"/>
      <c r="R112" s="20"/>
    </row>
    <row r="113" spans="1:18" ht="12.75" x14ac:dyDescent="0.2">
      <c r="A113" s="23"/>
      <c r="B113" s="23"/>
      <c r="C113" s="23"/>
      <c r="D113" s="36"/>
      <c r="E113" s="23"/>
      <c r="F113" s="23"/>
      <c r="G113" s="23"/>
      <c r="H113" s="23"/>
      <c r="J113" s="20"/>
      <c r="P113" s="20"/>
      <c r="R113" s="20"/>
    </row>
    <row r="114" spans="1:18" ht="12.75" x14ac:dyDescent="0.2">
      <c r="A114" s="23"/>
      <c r="B114" s="23"/>
      <c r="C114" s="23"/>
      <c r="D114" s="36"/>
      <c r="E114" s="23"/>
      <c r="F114" s="23"/>
      <c r="G114" s="23"/>
      <c r="H114" s="23"/>
      <c r="J114" s="20"/>
      <c r="P114" s="20"/>
      <c r="R114" s="20"/>
    </row>
    <row r="115" spans="1:18" ht="12.75" x14ac:dyDescent="0.2">
      <c r="A115" s="23"/>
      <c r="B115" s="23"/>
      <c r="C115" s="23"/>
      <c r="D115" s="36"/>
      <c r="E115" s="23"/>
      <c r="F115" s="23"/>
      <c r="G115" s="23"/>
      <c r="H115" s="23"/>
      <c r="J115" s="20"/>
      <c r="P115" s="20"/>
      <c r="R115" s="20"/>
    </row>
    <row r="116" spans="1:18" ht="12.75" x14ac:dyDescent="0.2">
      <c r="A116" s="23"/>
      <c r="B116" s="23"/>
      <c r="C116" s="23"/>
      <c r="D116" s="36"/>
      <c r="E116" s="23"/>
      <c r="F116" s="23"/>
      <c r="G116" s="23"/>
      <c r="H116" s="23"/>
      <c r="J116" s="20"/>
      <c r="P116" s="20"/>
      <c r="R116" s="20"/>
    </row>
    <row r="117" spans="1:18" ht="12.75" x14ac:dyDescent="0.2">
      <c r="A117" s="23"/>
      <c r="B117" s="23"/>
      <c r="C117" s="23"/>
      <c r="D117" s="36"/>
      <c r="E117" s="23"/>
      <c r="F117" s="23"/>
      <c r="G117" s="23"/>
      <c r="H117" s="23"/>
      <c r="J117" s="20"/>
      <c r="P117" s="20"/>
      <c r="R117" s="20"/>
    </row>
    <row r="118" spans="1:18" ht="12.75" x14ac:dyDescent="0.2">
      <c r="A118" s="23"/>
      <c r="B118" s="23"/>
      <c r="C118" s="23"/>
      <c r="D118" s="36"/>
      <c r="E118" s="23"/>
      <c r="F118" s="23"/>
      <c r="G118" s="23"/>
      <c r="H118" s="23"/>
      <c r="J118" s="20"/>
      <c r="P118" s="20"/>
      <c r="R118" s="20"/>
    </row>
    <row r="119" spans="1:18" ht="12.75" x14ac:dyDescent="0.2">
      <c r="D119" s="20"/>
      <c r="J119" s="20"/>
      <c r="P119" s="20"/>
      <c r="R119" s="20"/>
    </row>
    <row r="120" spans="1:18" ht="12.75" x14ac:dyDescent="0.2">
      <c r="D120" s="20"/>
      <c r="J120" s="20"/>
      <c r="P120" s="20"/>
      <c r="R120" s="20"/>
    </row>
    <row r="121" spans="1:18" ht="12.75" x14ac:dyDescent="0.2">
      <c r="D121" s="20"/>
      <c r="J121" s="20"/>
      <c r="P121" s="20"/>
      <c r="R121" s="20"/>
    </row>
    <row r="122" spans="1:18" ht="12.75" x14ac:dyDescent="0.2">
      <c r="D122" s="20"/>
      <c r="J122" s="20"/>
      <c r="P122" s="20"/>
      <c r="R122" s="20"/>
    </row>
    <row r="123" spans="1:18" ht="12.75" x14ac:dyDescent="0.2">
      <c r="D123" s="20"/>
      <c r="J123" s="20"/>
      <c r="P123" s="20"/>
      <c r="R123" s="20"/>
    </row>
    <row r="124" spans="1:18" ht="12.75" x14ac:dyDescent="0.2">
      <c r="D124" s="20"/>
      <c r="J124" s="20"/>
      <c r="P124" s="20"/>
      <c r="R124" s="20"/>
    </row>
    <row r="125" spans="1:18" ht="12.75" x14ac:dyDescent="0.2">
      <c r="D125" s="20"/>
      <c r="J125" s="20"/>
      <c r="P125" s="20"/>
      <c r="R125" s="20"/>
    </row>
    <row r="126" spans="1:18" ht="12.75" x14ac:dyDescent="0.2">
      <c r="D126" s="20"/>
      <c r="J126" s="20"/>
      <c r="P126" s="20"/>
      <c r="R126" s="20"/>
    </row>
    <row r="127" spans="1:18" ht="12.75" x14ac:dyDescent="0.2">
      <c r="D127" s="20"/>
      <c r="J127" s="20"/>
      <c r="P127" s="20"/>
      <c r="R127" s="20"/>
    </row>
    <row r="128" spans="1:18" ht="12.75" x14ac:dyDescent="0.2">
      <c r="D128" s="20"/>
      <c r="J128" s="20"/>
      <c r="P128" s="20"/>
      <c r="R128" s="20"/>
    </row>
    <row r="129" spans="4:18" ht="12.75" x14ac:dyDescent="0.2">
      <c r="D129" s="20"/>
      <c r="J129" s="20"/>
      <c r="P129" s="20"/>
      <c r="R129" s="20"/>
    </row>
    <row r="130" spans="4:18" ht="12.75" x14ac:dyDescent="0.2">
      <c r="D130" s="20"/>
      <c r="J130" s="20"/>
      <c r="P130" s="20"/>
      <c r="R130" s="20"/>
    </row>
    <row r="131" spans="4:18" ht="12.75" x14ac:dyDescent="0.2">
      <c r="D131" s="20"/>
      <c r="J131" s="20"/>
      <c r="P131" s="20"/>
      <c r="R131" s="20"/>
    </row>
    <row r="132" spans="4:18" ht="12.75" x14ac:dyDescent="0.2">
      <c r="D132" s="20"/>
      <c r="J132" s="20"/>
      <c r="P132" s="20"/>
      <c r="R132" s="20"/>
    </row>
    <row r="133" spans="4:18" ht="12.75" x14ac:dyDescent="0.2">
      <c r="D133" s="20"/>
      <c r="J133" s="20"/>
      <c r="P133" s="20"/>
      <c r="R133" s="20"/>
    </row>
    <row r="134" spans="4:18" ht="12.75" x14ac:dyDescent="0.2">
      <c r="D134" s="20"/>
      <c r="J134" s="20"/>
      <c r="P134" s="20"/>
      <c r="R134" s="20"/>
    </row>
    <row r="135" spans="4:18" ht="12.75" x14ac:dyDescent="0.2">
      <c r="D135" s="20"/>
      <c r="J135" s="20"/>
      <c r="P135" s="20"/>
      <c r="R135" s="20"/>
    </row>
    <row r="136" spans="4:18" ht="12.75" x14ac:dyDescent="0.2">
      <c r="D136" s="20"/>
      <c r="J136" s="20"/>
      <c r="P136" s="20"/>
      <c r="R136" s="20"/>
    </row>
    <row r="137" spans="4:18" ht="12.75" x14ac:dyDescent="0.2">
      <c r="D137" s="20"/>
      <c r="J137" s="20"/>
      <c r="P137" s="20"/>
      <c r="R137" s="20"/>
    </row>
    <row r="138" spans="4:18" ht="12.75" x14ac:dyDescent="0.2">
      <c r="D138" s="20"/>
      <c r="J138" s="20"/>
      <c r="P138" s="20"/>
      <c r="R138" s="20"/>
    </row>
    <row r="139" spans="4:18" ht="12.75" x14ac:dyDescent="0.2">
      <c r="D139" s="20"/>
      <c r="J139" s="20"/>
      <c r="P139" s="20"/>
      <c r="R139" s="20"/>
    </row>
    <row r="140" spans="4:18" ht="12.75" x14ac:dyDescent="0.2">
      <c r="D140" s="20"/>
      <c r="J140" s="20"/>
      <c r="P140" s="20"/>
      <c r="R140" s="20"/>
    </row>
    <row r="141" spans="4:18" ht="12.75" x14ac:dyDescent="0.2">
      <c r="D141" s="20"/>
      <c r="J141" s="20"/>
      <c r="P141" s="20"/>
      <c r="R141" s="20"/>
    </row>
    <row r="142" spans="4:18" ht="12.75" x14ac:dyDescent="0.2">
      <c r="D142" s="20"/>
      <c r="J142" s="20"/>
      <c r="P142" s="20"/>
      <c r="R142" s="20"/>
    </row>
    <row r="143" spans="4:18" ht="12.75" x14ac:dyDescent="0.2">
      <c r="D143" s="20"/>
      <c r="J143" s="20"/>
      <c r="P143" s="20"/>
      <c r="R143" s="20"/>
    </row>
    <row r="144" spans="4:18" ht="12.75" x14ac:dyDescent="0.2">
      <c r="D144" s="20"/>
      <c r="J144" s="20"/>
      <c r="P144" s="20"/>
      <c r="R144" s="20"/>
    </row>
    <row r="145" spans="4:18" ht="12.75" x14ac:dyDescent="0.2">
      <c r="D145" s="20"/>
      <c r="J145" s="20"/>
      <c r="P145" s="20"/>
      <c r="R145" s="20"/>
    </row>
    <row r="146" spans="4:18" ht="12.75" x14ac:dyDescent="0.2">
      <c r="D146" s="20"/>
      <c r="J146" s="20"/>
      <c r="P146" s="20"/>
      <c r="R146" s="20"/>
    </row>
    <row r="147" spans="4:18" ht="12.75" x14ac:dyDescent="0.2">
      <c r="D147" s="20"/>
      <c r="J147" s="20"/>
      <c r="P147" s="20"/>
      <c r="R147" s="20"/>
    </row>
    <row r="148" spans="4:18" ht="12.75" x14ac:dyDescent="0.2">
      <c r="D148" s="20"/>
      <c r="J148" s="20"/>
      <c r="P148" s="20"/>
      <c r="R148" s="20"/>
    </row>
    <row r="149" spans="4:18" ht="12.75" x14ac:dyDescent="0.2">
      <c r="D149" s="20"/>
      <c r="J149" s="20"/>
      <c r="P149" s="20"/>
      <c r="R149" s="20"/>
    </row>
    <row r="150" spans="4:18" ht="12.75" x14ac:dyDescent="0.2">
      <c r="D150" s="20"/>
      <c r="J150" s="20"/>
      <c r="P150" s="20"/>
      <c r="R150" s="20"/>
    </row>
    <row r="151" spans="4:18" ht="12.75" x14ac:dyDescent="0.2">
      <c r="D151" s="20"/>
      <c r="J151" s="20"/>
      <c r="P151" s="20"/>
      <c r="R151" s="20"/>
    </row>
    <row r="152" spans="4:18" ht="12.75" x14ac:dyDescent="0.2">
      <c r="D152" s="20"/>
      <c r="J152" s="20"/>
      <c r="P152" s="20"/>
      <c r="R152" s="20"/>
    </row>
    <row r="153" spans="4:18" ht="12.75" x14ac:dyDescent="0.2">
      <c r="D153" s="20"/>
      <c r="J153" s="20"/>
      <c r="P153" s="20"/>
      <c r="R153" s="20"/>
    </row>
    <row r="154" spans="4:18" ht="12.75" x14ac:dyDescent="0.2">
      <c r="D154" s="20"/>
      <c r="J154" s="20"/>
      <c r="P154" s="20"/>
      <c r="R154" s="20"/>
    </row>
    <row r="155" spans="4:18" ht="12.75" x14ac:dyDescent="0.2">
      <c r="D155" s="20"/>
      <c r="J155" s="20"/>
      <c r="P155" s="20"/>
      <c r="R155" s="20"/>
    </row>
    <row r="156" spans="4:18" ht="12.75" x14ac:dyDescent="0.2">
      <c r="D156" s="20"/>
      <c r="J156" s="20"/>
      <c r="P156" s="20"/>
      <c r="R156" s="20"/>
    </row>
    <row r="157" spans="4:18" ht="12.75" x14ac:dyDescent="0.2">
      <c r="D157" s="20"/>
      <c r="J157" s="20"/>
      <c r="P157" s="20"/>
      <c r="R157" s="20"/>
    </row>
    <row r="158" spans="4:18" ht="12.75" x14ac:dyDescent="0.2">
      <c r="D158" s="20"/>
      <c r="J158" s="20"/>
      <c r="P158" s="20"/>
      <c r="R158" s="20"/>
    </row>
    <row r="159" spans="4:18" ht="12.75" x14ac:dyDescent="0.2">
      <c r="D159" s="20"/>
      <c r="J159" s="20"/>
      <c r="P159" s="20"/>
      <c r="R159" s="20"/>
    </row>
    <row r="160" spans="4:18" ht="12.75" x14ac:dyDescent="0.2">
      <c r="D160" s="20"/>
      <c r="J160" s="20"/>
      <c r="P160" s="20"/>
      <c r="R160" s="20"/>
    </row>
    <row r="161" spans="4:18" ht="12.75" x14ac:dyDescent="0.2">
      <c r="D161" s="20"/>
      <c r="J161" s="20"/>
      <c r="P161" s="20"/>
      <c r="R161" s="20"/>
    </row>
    <row r="162" spans="4:18" ht="12.75" x14ac:dyDescent="0.2">
      <c r="D162" s="20"/>
      <c r="J162" s="20"/>
      <c r="P162" s="20"/>
      <c r="R162" s="20"/>
    </row>
    <row r="163" spans="4:18" ht="12.75" x14ac:dyDescent="0.2">
      <c r="D163" s="20"/>
      <c r="J163" s="20"/>
      <c r="P163" s="20"/>
      <c r="R163" s="20"/>
    </row>
    <row r="164" spans="4:18" ht="12.75" x14ac:dyDescent="0.2">
      <c r="D164" s="20"/>
      <c r="J164" s="20"/>
      <c r="P164" s="20"/>
      <c r="R164" s="20"/>
    </row>
    <row r="165" spans="4:18" ht="12.75" x14ac:dyDescent="0.2">
      <c r="D165" s="20"/>
      <c r="J165" s="20"/>
      <c r="P165" s="20"/>
      <c r="R165" s="20"/>
    </row>
    <row r="166" spans="4:18" ht="12.75" x14ac:dyDescent="0.2">
      <c r="D166" s="20"/>
      <c r="J166" s="20"/>
      <c r="P166" s="20"/>
      <c r="R166" s="20"/>
    </row>
    <row r="167" spans="4:18" ht="12.75" x14ac:dyDescent="0.2">
      <c r="D167" s="20"/>
      <c r="J167" s="20"/>
      <c r="P167" s="20"/>
      <c r="R167" s="20"/>
    </row>
    <row r="168" spans="4:18" ht="12.75" x14ac:dyDescent="0.2">
      <c r="D168" s="20"/>
      <c r="J168" s="20"/>
      <c r="P168" s="20"/>
      <c r="R168" s="20"/>
    </row>
    <row r="169" spans="4:18" ht="12.75" x14ac:dyDescent="0.2">
      <c r="D169" s="20"/>
      <c r="J169" s="20"/>
      <c r="P169" s="20"/>
      <c r="R169" s="20"/>
    </row>
    <row r="170" spans="4:18" ht="12.75" x14ac:dyDescent="0.2">
      <c r="D170" s="20"/>
      <c r="J170" s="20"/>
      <c r="P170" s="20"/>
      <c r="R170" s="20"/>
    </row>
    <row r="171" spans="4:18" ht="12.75" x14ac:dyDescent="0.2">
      <c r="D171" s="20"/>
      <c r="J171" s="20"/>
      <c r="P171" s="20"/>
      <c r="R171" s="20"/>
    </row>
    <row r="172" spans="4:18" ht="12.75" x14ac:dyDescent="0.2">
      <c r="D172" s="20"/>
      <c r="J172" s="20"/>
      <c r="P172" s="20"/>
      <c r="R172" s="20"/>
    </row>
    <row r="173" spans="4:18" ht="12.75" x14ac:dyDescent="0.2">
      <c r="D173" s="20"/>
      <c r="J173" s="20"/>
      <c r="P173" s="20"/>
      <c r="R173" s="20"/>
    </row>
    <row r="174" spans="4:18" ht="12.75" x14ac:dyDescent="0.2">
      <c r="D174" s="20"/>
      <c r="J174" s="20"/>
      <c r="P174" s="20"/>
      <c r="R174" s="20"/>
    </row>
    <row r="175" spans="4:18" ht="12.75" x14ac:dyDescent="0.2">
      <c r="D175" s="20"/>
      <c r="J175" s="20"/>
      <c r="P175" s="20"/>
      <c r="R175" s="20"/>
    </row>
    <row r="176" spans="4:18" ht="12.75" x14ac:dyDescent="0.2">
      <c r="D176" s="20"/>
      <c r="J176" s="20"/>
      <c r="P176" s="20"/>
      <c r="R176" s="20"/>
    </row>
    <row r="177" spans="4:18" ht="12.75" x14ac:dyDescent="0.2">
      <c r="D177" s="20"/>
      <c r="J177" s="20"/>
      <c r="P177" s="20"/>
      <c r="R177" s="20"/>
    </row>
    <row r="178" spans="4:18" ht="12.75" x14ac:dyDescent="0.2">
      <c r="D178" s="20"/>
      <c r="J178" s="20"/>
      <c r="P178" s="20"/>
      <c r="R178" s="20"/>
    </row>
    <row r="179" spans="4:18" ht="12.75" x14ac:dyDescent="0.2">
      <c r="D179" s="20"/>
      <c r="J179" s="20"/>
      <c r="P179" s="20"/>
      <c r="R179" s="20"/>
    </row>
    <row r="180" spans="4:18" ht="12.75" x14ac:dyDescent="0.2">
      <c r="D180" s="20"/>
      <c r="J180" s="20"/>
      <c r="P180" s="20"/>
      <c r="R180" s="20"/>
    </row>
    <row r="181" spans="4:18" ht="12.75" x14ac:dyDescent="0.2">
      <c r="D181" s="20"/>
      <c r="J181" s="20"/>
      <c r="P181" s="20"/>
      <c r="R181" s="20"/>
    </row>
    <row r="182" spans="4:18" ht="12.75" x14ac:dyDescent="0.2">
      <c r="D182" s="20"/>
      <c r="J182" s="20"/>
      <c r="P182" s="20"/>
      <c r="R182" s="20"/>
    </row>
    <row r="183" spans="4:18" ht="12.75" x14ac:dyDescent="0.2">
      <c r="D183" s="20"/>
      <c r="J183" s="20"/>
      <c r="P183" s="20"/>
      <c r="R183" s="20"/>
    </row>
    <row r="184" spans="4:18" ht="12.75" x14ac:dyDescent="0.2">
      <c r="D184" s="20"/>
      <c r="J184" s="20"/>
      <c r="P184" s="20"/>
      <c r="R184" s="20"/>
    </row>
    <row r="185" spans="4:18" ht="12.75" x14ac:dyDescent="0.2">
      <c r="D185" s="20"/>
      <c r="J185" s="20"/>
      <c r="P185" s="20"/>
      <c r="R185" s="20"/>
    </row>
    <row r="186" spans="4:18" ht="12.75" x14ac:dyDescent="0.2">
      <c r="D186" s="20"/>
      <c r="J186" s="20"/>
      <c r="P186" s="20"/>
      <c r="R186" s="20"/>
    </row>
    <row r="187" spans="4:18" ht="12.75" x14ac:dyDescent="0.2">
      <c r="D187" s="20"/>
      <c r="J187" s="20"/>
      <c r="P187" s="20"/>
      <c r="R187" s="20"/>
    </row>
    <row r="188" spans="4:18" ht="12.75" x14ac:dyDescent="0.2">
      <c r="D188" s="20"/>
      <c r="J188" s="20"/>
      <c r="P188" s="20"/>
      <c r="R188" s="20"/>
    </row>
    <row r="189" spans="4:18" ht="12.75" x14ac:dyDescent="0.2">
      <c r="D189" s="20"/>
      <c r="J189" s="20"/>
      <c r="P189" s="20"/>
      <c r="R189" s="20"/>
    </row>
    <row r="190" spans="4:18" ht="12.75" x14ac:dyDescent="0.2">
      <c r="D190" s="20"/>
      <c r="J190" s="20"/>
      <c r="P190" s="20"/>
      <c r="R190" s="20"/>
    </row>
    <row r="191" spans="4:18" ht="12.75" x14ac:dyDescent="0.2">
      <c r="D191" s="20"/>
      <c r="J191" s="20"/>
      <c r="P191" s="20"/>
      <c r="R191" s="20"/>
    </row>
    <row r="192" spans="4:18" ht="12.75" x14ac:dyDescent="0.2">
      <c r="D192" s="20"/>
      <c r="J192" s="20"/>
      <c r="P192" s="20"/>
      <c r="R192" s="20"/>
    </row>
    <row r="193" spans="4:18" ht="12.75" x14ac:dyDescent="0.2">
      <c r="D193" s="20"/>
      <c r="J193" s="20"/>
      <c r="P193" s="20"/>
      <c r="R193" s="20"/>
    </row>
    <row r="194" spans="4:18" ht="12.75" x14ac:dyDescent="0.2">
      <c r="D194" s="20"/>
      <c r="J194" s="20"/>
      <c r="P194" s="20"/>
      <c r="R194" s="20"/>
    </row>
    <row r="195" spans="4:18" ht="12.75" x14ac:dyDescent="0.2">
      <c r="D195" s="20"/>
      <c r="J195" s="20"/>
      <c r="P195" s="20"/>
      <c r="R195" s="20"/>
    </row>
    <row r="196" spans="4:18" ht="12.75" x14ac:dyDescent="0.2">
      <c r="D196" s="20"/>
      <c r="J196" s="20"/>
      <c r="P196" s="20"/>
      <c r="R196" s="20"/>
    </row>
    <row r="197" spans="4:18" ht="12.75" x14ac:dyDescent="0.2">
      <c r="D197" s="20"/>
      <c r="J197" s="20"/>
      <c r="P197" s="20"/>
      <c r="R197" s="20"/>
    </row>
    <row r="198" spans="4:18" ht="12.75" x14ac:dyDescent="0.2">
      <c r="D198" s="20"/>
      <c r="J198" s="20"/>
      <c r="P198" s="20"/>
      <c r="R198" s="20"/>
    </row>
    <row r="199" spans="4:18" ht="12.75" x14ac:dyDescent="0.2">
      <c r="D199" s="20"/>
      <c r="J199" s="20"/>
      <c r="P199" s="20"/>
      <c r="R199" s="20"/>
    </row>
    <row r="200" spans="4:18" ht="12.75" x14ac:dyDescent="0.2">
      <c r="D200" s="20"/>
      <c r="J200" s="20"/>
      <c r="P200" s="20"/>
      <c r="R200" s="20"/>
    </row>
    <row r="201" spans="4:18" ht="12.75" x14ac:dyDescent="0.2">
      <c r="D201" s="20"/>
      <c r="J201" s="20"/>
      <c r="P201" s="20"/>
      <c r="R201" s="20"/>
    </row>
    <row r="202" spans="4:18" ht="12.75" x14ac:dyDescent="0.2">
      <c r="D202" s="20"/>
      <c r="J202" s="20"/>
      <c r="P202" s="20"/>
      <c r="R202" s="20"/>
    </row>
    <row r="203" spans="4:18" ht="12.75" x14ac:dyDescent="0.2">
      <c r="D203" s="20"/>
      <c r="J203" s="20"/>
      <c r="P203" s="20"/>
      <c r="R203" s="20"/>
    </row>
    <row r="204" spans="4:18" ht="12.75" x14ac:dyDescent="0.2">
      <c r="D204" s="20"/>
      <c r="J204" s="20"/>
      <c r="P204" s="20"/>
      <c r="R204" s="20"/>
    </row>
    <row r="205" spans="4:18" ht="12.75" x14ac:dyDescent="0.2">
      <c r="D205" s="20"/>
      <c r="J205" s="20"/>
      <c r="P205" s="20"/>
      <c r="R205" s="20"/>
    </row>
    <row r="206" spans="4:18" ht="12.75" x14ac:dyDescent="0.2">
      <c r="D206" s="20"/>
      <c r="J206" s="20"/>
      <c r="P206" s="20"/>
      <c r="R206" s="20"/>
    </row>
    <row r="207" spans="4:18" ht="12.75" x14ac:dyDescent="0.2">
      <c r="D207" s="20"/>
      <c r="J207" s="20"/>
      <c r="P207" s="20"/>
      <c r="R207" s="20"/>
    </row>
    <row r="208" spans="4:18" ht="12.75" x14ac:dyDescent="0.2">
      <c r="D208" s="20"/>
      <c r="J208" s="20"/>
      <c r="P208" s="20"/>
      <c r="R208" s="20"/>
    </row>
    <row r="209" spans="4:18" ht="12.75" x14ac:dyDescent="0.2">
      <c r="D209" s="20"/>
      <c r="J209" s="20"/>
      <c r="P209" s="20"/>
      <c r="R209" s="20"/>
    </row>
    <row r="210" spans="4:18" ht="12.75" x14ac:dyDescent="0.2">
      <c r="D210" s="20"/>
      <c r="J210" s="20"/>
      <c r="P210" s="20"/>
      <c r="R210" s="20"/>
    </row>
    <row r="211" spans="4:18" ht="12.75" x14ac:dyDescent="0.2">
      <c r="D211" s="20"/>
      <c r="J211" s="20"/>
      <c r="P211" s="20"/>
      <c r="R211" s="20"/>
    </row>
    <row r="212" spans="4:18" ht="12.75" x14ac:dyDescent="0.2">
      <c r="D212" s="20"/>
      <c r="J212" s="20"/>
      <c r="P212" s="20"/>
      <c r="R212" s="20"/>
    </row>
    <row r="213" spans="4:18" ht="12.75" x14ac:dyDescent="0.2">
      <c r="D213" s="20"/>
      <c r="J213" s="20"/>
      <c r="P213" s="20"/>
      <c r="R213" s="20"/>
    </row>
    <row r="214" spans="4:18" ht="12.75" x14ac:dyDescent="0.2">
      <c r="D214" s="20"/>
      <c r="J214" s="20"/>
      <c r="P214" s="20"/>
      <c r="R214" s="20"/>
    </row>
    <row r="215" spans="4:18" ht="12.75" x14ac:dyDescent="0.2">
      <c r="D215" s="20"/>
      <c r="J215" s="20"/>
      <c r="P215" s="20"/>
      <c r="R215" s="20"/>
    </row>
    <row r="216" spans="4:18" ht="12.75" x14ac:dyDescent="0.2">
      <c r="D216" s="20"/>
      <c r="J216" s="20"/>
      <c r="P216" s="20"/>
      <c r="R216" s="20"/>
    </row>
    <row r="217" spans="4:18" ht="12.75" x14ac:dyDescent="0.2">
      <c r="D217" s="20"/>
      <c r="J217" s="20"/>
      <c r="P217" s="20"/>
      <c r="R217" s="20"/>
    </row>
    <row r="218" spans="4:18" ht="12.75" x14ac:dyDescent="0.2">
      <c r="D218" s="20"/>
      <c r="J218" s="20"/>
      <c r="P218" s="20"/>
      <c r="R218" s="20"/>
    </row>
    <row r="219" spans="4:18" ht="12.75" x14ac:dyDescent="0.2">
      <c r="D219" s="20"/>
      <c r="J219" s="20"/>
      <c r="P219" s="20"/>
      <c r="R219" s="20"/>
    </row>
    <row r="220" spans="4:18" ht="12.75" x14ac:dyDescent="0.2">
      <c r="D220" s="20"/>
      <c r="J220" s="20"/>
      <c r="P220" s="20"/>
      <c r="R220" s="20"/>
    </row>
    <row r="221" spans="4:18" ht="12.75" x14ac:dyDescent="0.2">
      <c r="D221" s="20"/>
      <c r="J221" s="20"/>
      <c r="P221" s="20"/>
      <c r="R221" s="20"/>
    </row>
    <row r="222" spans="4:18" ht="12.75" x14ac:dyDescent="0.2">
      <c r="D222" s="20"/>
      <c r="J222" s="20"/>
      <c r="P222" s="20"/>
      <c r="R222" s="20"/>
    </row>
    <row r="223" spans="4:18" ht="12.75" x14ac:dyDescent="0.2">
      <c r="D223" s="20"/>
      <c r="J223" s="20"/>
      <c r="P223" s="20"/>
      <c r="R223" s="20"/>
    </row>
    <row r="224" spans="4:18" ht="12.75" x14ac:dyDescent="0.2">
      <c r="D224" s="20"/>
      <c r="J224" s="20"/>
      <c r="P224" s="20"/>
      <c r="R224" s="20"/>
    </row>
    <row r="225" spans="4:18" ht="12.75" x14ac:dyDescent="0.2">
      <c r="D225" s="20"/>
      <c r="J225" s="20"/>
      <c r="P225" s="20"/>
      <c r="R225" s="20"/>
    </row>
    <row r="226" spans="4:18" ht="12.75" x14ac:dyDescent="0.2">
      <c r="D226" s="20"/>
      <c r="J226" s="20"/>
      <c r="P226" s="20"/>
      <c r="R226" s="20"/>
    </row>
    <row r="227" spans="4:18" ht="12.75" x14ac:dyDescent="0.2">
      <c r="D227" s="20"/>
      <c r="J227" s="20"/>
      <c r="P227" s="20"/>
      <c r="R227" s="20"/>
    </row>
    <row r="228" spans="4:18" ht="12.75" x14ac:dyDescent="0.2">
      <c r="D228" s="20"/>
      <c r="J228" s="20"/>
      <c r="P228" s="20"/>
      <c r="R228" s="20"/>
    </row>
    <row r="229" spans="4:18" ht="12.75" x14ac:dyDescent="0.2">
      <c r="D229" s="20"/>
      <c r="J229" s="20"/>
      <c r="P229" s="20"/>
      <c r="R229" s="20"/>
    </row>
    <row r="230" spans="4:18" ht="12.75" x14ac:dyDescent="0.2">
      <c r="D230" s="20"/>
      <c r="J230" s="20"/>
      <c r="P230" s="20"/>
      <c r="R230" s="20"/>
    </row>
    <row r="231" spans="4:18" ht="12.75" x14ac:dyDescent="0.2">
      <c r="D231" s="20"/>
      <c r="J231" s="20"/>
      <c r="P231" s="20"/>
      <c r="R231" s="20"/>
    </row>
    <row r="232" spans="4:18" ht="12.75" x14ac:dyDescent="0.2">
      <c r="D232" s="20"/>
      <c r="J232" s="20"/>
      <c r="P232" s="20"/>
      <c r="R232" s="20"/>
    </row>
    <row r="233" spans="4:18" ht="12.75" x14ac:dyDescent="0.2">
      <c r="D233" s="20"/>
      <c r="J233" s="20"/>
      <c r="P233" s="20"/>
      <c r="R233" s="20"/>
    </row>
    <row r="234" spans="4:18" ht="12.75" x14ac:dyDescent="0.2">
      <c r="D234" s="20"/>
      <c r="J234" s="20"/>
      <c r="P234" s="20"/>
      <c r="R234" s="20"/>
    </row>
    <row r="235" spans="4:18" ht="12.75" x14ac:dyDescent="0.2">
      <c r="D235" s="20"/>
      <c r="J235" s="20"/>
      <c r="P235" s="20"/>
      <c r="R235" s="20"/>
    </row>
    <row r="236" spans="4:18" ht="12.75" x14ac:dyDescent="0.2">
      <c r="D236" s="20"/>
      <c r="J236" s="20"/>
      <c r="P236" s="20"/>
      <c r="R236" s="20"/>
    </row>
    <row r="237" spans="4:18" ht="12.75" x14ac:dyDescent="0.2">
      <c r="D237" s="20"/>
      <c r="J237" s="20"/>
      <c r="P237" s="20"/>
      <c r="R237" s="20"/>
    </row>
    <row r="238" spans="4:18" ht="12.75" x14ac:dyDescent="0.2">
      <c r="D238" s="20"/>
      <c r="J238" s="20"/>
      <c r="P238" s="20"/>
      <c r="R238" s="20"/>
    </row>
    <row r="239" spans="4:18" ht="12.75" x14ac:dyDescent="0.2">
      <c r="D239" s="20"/>
      <c r="J239" s="20"/>
      <c r="P239" s="20"/>
      <c r="R239" s="20"/>
    </row>
    <row r="240" spans="4:18" ht="12.75" x14ac:dyDescent="0.2">
      <c r="D240" s="20"/>
      <c r="J240" s="20"/>
      <c r="P240" s="20"/>
      <c r="R240" s="20"/>
    </row>
    <row r="241" spans="4:18" ht="12.75" x14ac:dyDescent="0.2">
      <c r="D241" s="20"/>
      <c r="J241" s="20"/>
      <c r="P241" s="20"/>
      <c r="R241" s="20"/>
    </row>
    <row r="242" spans="4:18" ht="12.75" x14ac:dyDescent="0.2">
      <c r="D242" s="20"/>
      <c r="J242" s="20"/>
      <c r="P242" s="20"/>
      <c r="R242" s="20"/>
    </row>
    <row r="243" spans="4:18" ht="12.75" x14ac:dyDescent="0.2">
      <c r="D243" s="20"/>
      <c r="J243" s="20"/>
      <c r="P243" s="20"/>
      <c r="R243" s="20"/>
    </row>
    <row r="244" spans="4:18" ht="12.75" x14ac:dyDescent="0.2">
      <c r="D244" s="20"/>
      <c r="J244" s="20"/>
      <c r="P244" s="20"/>
      <c r="R244" s="20"/>
    </row>
    <row r="245" spans="4:18" ht="12.75" x14ac:dyDescent="0.2">
      <c r="D245" s="20"/>
      <c r="J245" s="20"/>
      <c r="P245" s="20"/>
      <c r="R245" s="20"/>
    </row>
    <row r="246" spans="4:18" ht="12.75" x14ac:dyDescent="0.2">
      <c r="D246" s="20"/>
      <c r="J246" s="20"/>
      <c r="P246" s="20"/>
      <c r="R246" s="20"/>
    </row>
    <row r="247" spans="4:18" ht="12.75" x14ac:dyDescent="0.2">
      <c r="D247" s="20"/>
      <c r="J247" s="20"/>
      <c r="P247" s="20"/>
      <c r="R247" s="20"/>
    </row>
    <row r="248" spans="4:18" ht="12.75" x14ac:dyDescent="0.2">
      <c r="D248" s="20"/>
      <c r="J248" s="20"/>
      <c r="P248" s="20"/>
      <c r="R248" s="20"/>
    </row>
    <row r="249" spans="4:18" ht="12.75" x14ac:dyDescent="0.2">
      <c r="D249" s="20"/>
      <c r="J249" s="20"/>
      <c r="P249" s="20"/>
      <c r="R249" s="20"/>
    </row>
    <row r="250" spans="4:18" ht="12.75" x14ac:dyDescent="0.2">
      <c r="D250" s="20"/>
      <c r="J250" s="20"/>
      <c r="P250" s="20"/>
      <c r="R250" s="20"/>
    </row>
    <row r="251" spans="4:18" ht="12.75" x14ac:dyDescent="0.2">
      <c r="D251" s="20"/>
      <c r="J251" s="20"/>
      <c r="P251" s="20"/>
      <c r="R251" s="20"/>
    </row>
    <row r="252" spans="4:18" ht="12.75" x14ac:dyDescent="0.2">
      <c r="D252" s="20"/>
      <c r="J252" s="20"/>
      <c r="P252" s="20"/>
      <c r="R252" s="20"/>
    </row>
    <row r="253" spans="4:18" ht="12.75" x14ac:dyDescent="0.2">
      <c r="D253" s="20"/>
      <c r="J253" s="20"/>
      <c r="P253" s="20"/>
      <c r="R253" s="20"/>
    </row>
    <row r="254" spans="4:18" ht="12.75" x14ac:dyDescent="0.2">
      <c r="D254" s="20"/>
      <c r="J254" s="20"/>
      <c r="P254" s="20"/>
      <c r="R254" s="20"/>
    </row>
    <row r="255" spans="4:18" ht="12.75" x14ac:dyDescent="0.2">
      <c r="D255" s="20"/>
      <c r="J255" s="20"/>
      <c r="P255" s="20"/>
      <c r="R255" s="20"/>
    </row>
    <row r="256" spans="4:18" ht="12.75" x14ac:dyDescent="0.2">
      <c r="D256" s="20"/>
      <c r="J256" s="20"/>
      <c r="P256" s="20"/>
      <c r="R256" s="20"/>
    </row>
    <row r="257" spans="4:18" ht="12.75" x14ac:dyDescent="0.2">
      <c r="D257" s="20"/>
      <c r="J257" s="20"/>
      <c r="P257" s="20"/>
      <c r="R257" s="20"/>
    </row>
    <row r="258" spans="4:18" ht="12.75" x14ac:dyDescent="0.2">
      <c r="D258" s="20"/>
      <c r="J258" s="20"/>
      <c r="P258" s="20"/>
      <c r="R258" s="20"/>
    </row>
    <row r="259" spans="4:18" ht="12.75" x14ac:dyDescent="0.2">
      <c r="D259" s="20"/>
      <c r="J259" s="20"/>
      <c r="P259" s="20"/>
      <c r="R259" s="20"/>
    </row>
    <row r="260" spans="4:18" ht="12.75" x14ac:dyDescent="0.2">
      <c r="D260" s="20"/>
      <c r="J260" s="20"/>
      <c r="P260" s="20"/>
      <c r="R260" s="20"/>
    </row>
    <row r="261" spans="4:18" ht="12.75" x14ac:dyDescent="0.2">
      <c r="D261" s="20"/>
      <c r="J261" s="20"/>
      <c r="P261" s="20"/>
      <c r="R261" s="20"/>
    </row>
    <row r="262" spans="4:18" ht="12.75" x14ac:dyDescent="0.2">
      <c r="D262" s="20"/>
      <c r="J262" s="20"/>
      <c r="P262" s="20"/>
      <c r="R262" s="20"/>
    </row>
    <row r="263" spans="4:18" ht="12.75" x14ac:dyDescent="0.2">
      <c r="D263" s="20"/>
      <c r="J263" s="20"/>
      <c r="P263" s="20"/>
      <c r="R263" s="20"/>
    </row>
    <row r="264" spans="4:18" ht="12.75" x14ac:dyDescent="0.2">
      <c r="D264" s="20"/>
      <c r="J264" s="20"/>
      <c r="P264" s="20"/>
      <c r="R264" s="20"/>
    </row>
    <row r="265" spans="4:18" ht="12.75" x14ac:dyDescent="0.2">
      <c r="D265" s="20"/>
      <c r="J265" s="20"/>
      <c r="P265" s="20"/>
      <c r="R265" s="20"/>
    </row>
    <row r="266" spans="4:18" ht="12.75" x14ac:dyDescent="0.2">
      <c r="D266" s="20"/>
      <c r="J266" s="20"/>
      <c r="P266" s="20"/>
      <c r="R266" s="20"/>
    </row>
    <row r="267" spans="4:18" ht="12.75" x14ac:dyDescent="0.2">
      <c r="D267" s="20"/>
      <c r="J267" s="20"/>
      <c r="P267" s="20"/>
      <c r="R267" s="20"/>
    </row>
    <row r="268" spans="4:18" ht="12.75" x14ac:dyDescent="0.2">
      <c r="D268" s="20"/>
      <c r="J268" s="20"/>
      <c r="P268" s="20"/>
      <c r="R268" s="20"/>
    </row>
    <row r="269" spans="4:18" ht="12.75" x14ac:dyDescent="0.2">
      <c r="D269" s="20"/>
      <c r="J269" s="20"/>
      <c r="P269" s="20"/>
      <c r="R269" s="20"/>
    </row>
    <row r="270" spans="4:18" ht="12.75" x14ac:dyDescent="0.2">
      <c r="D270" s="20"/>
      <c r="J270" s="20"/>
      <c r="P270" s="20"/>
      <c r="R270" s="20"/>
    </row>
    <row r="271" spans="4:18" ht="12.75" x14ac:dyDescent="0.2">
      <c r="D271" s="20"/>
      <c r="J271" s="20"/>
      <c r="P271" s="20"/>
      <c r="R271" s="20"/>
    </row>
    <row r="272" spans="4:18" ht="12.75" x14ac:dyDescent="0.2">
      <c r="D272" s="20"/>
      <c r="J272" s="20"/>
      <c r="P272" s="20"/>
      <c r="R272" s="20"/>
    </row>
    <row r="273" spans="4:18" ht="12.75" x14ac:dyDescent="0.2">
      <c r="D273" s="20"/>
      <c r="J273" s="20"/>
      <c r="P273" s="20"/>
      <c r="R273" s="20"/>
    </row>
    <row r="274" spans="4:18" ht="12.75" x14ac:dyDescent="0.2">
      <c r="D274" s="20"/>
      <c r="J274" s="20"/>
      <c r="P274" s="20"/>
      <c r="R274" s="20"/>
    </row>
    <row r="275" spans="4:18" ht="12.75" x14ac:dyDescent="0.2">
      <c r="D275" s="20"/>
      <c r="J275" s="20"/>
      <c r="P275" s="20"/>
      <c r="R275" s="20"/>
    </row>
    <row r="276" spans="4:18" ht="12.75" x14ac:dyDescent="0.2">
      <c r="D276" s="20"/>
      <c r="J276" s="20"/>
      <c r="P276" s="20"/>
      <c r="R276" s="20"/>
    </row>
    <row r="277" spans="4:18" ht="12.75" x14ac:dyDescent="0.2">
      <c r="D277" s="20"/>
      <c r="J277" s="20"/>
      <c r="P277" s="20"/>
      <c r="R277" s="20"/>
    </row>
    <row r="278" spans="4:18" ht="12.75" x14ac:dyDescent="0.2">
      <c r="D278" s="20"/>
      <c r="J278" s="20"/>
      <c r="P278" s="20"/>
      <c r="R278" s="20"/>
    </row>
    <row r="279" spans="4:18" ht="12.75" x14ac:dyDescent="0.2">
      <c r="D279" s="20"/>
      <c r="J279" s="20"/>
      <c r="P279" s="20"/>
      <c r="R279" s="20"/>
    </row>
    <row r="280" spans="4:18" ht="12.75" x14ac:dyDescent="0.2">
      <c r="D280" s="20"/>
      <c r="J280" s="20"/>
      <c r="P280" s="20"/>
      <c r="R280" s="20"/>
    </row>
    <row r="281" spans="4:18" ht="12.75" x14ac:dyDescent="0.2">
      <c r="D281" s="20"/>
      <c r="J281" s="20"/>
      <c r="P281" s="20"/>
      <c r="R281" s="20"/>
    </row>
    <row r="282" spans="4:18" ht="12.75" x14ac:dyDescent="0.2">
      <c r="D282" s="20"/>
      <c r="J282" s="20"/>
      <c r="P282" s="20"/>
      <c r="R282" s="20"/>
    </row>
    <row r="283" spans="4:18" ht="12.75" x14ac:dyDescent="0.2">
      <c r="D283" s="20"/>
      <c r="J283" s="20"/>
      <c r="P283" s="20"/>
      <c r="R283" s="20"/>
    </row>
    <row r="284" spans="4:18" ht="12.75" x14ac:dyDescent="0.2">
      <c r="D284" s="20"/>
      <c r="J284" s="20"/>
      <c r="P284" s="20"/>
      <c r="R284" s="20"/>
    </row>
    <row r="285" spans="4:18" ht="12.75" x14ac:dyDescent="0.2">
      <c r="D285" s="20"/>
      <c r="J285" s="20"/>
      <c r="P285" s="20"/>
      <c r="R285" s="20"/>
    </row>
    <row r="286" spans="4:18" ht="12.75" x14ac:dyDescent="0.2">
      <c r="D286" s="20"/>
      <c r="J286" s="20"/>
      <c r="P286" s="20"/>
      <c r="R286" s="20"/>
    </row>
    <row r="287" spans="4:18" ht="12.75" x14ac:dyDescent="0.2">
      <c r="D287" s="20"/>
      <c r="J287" s="20"/>
      <c r="P287" s="20"/>
      <c r="R287" s="20"/>
    </row>
    <row r="288" spans="4:18" ht="12.75" x14ac:dyDescent="0.2">
      <c r="D288" s="20"/>
      <c r="J288" s="20"/>
      <c r="P288" s="20"/>
      <c r="R288" s="20"/>
    </row>
    <row r="289" spans="4:18" ht="12.75" x14ac:dyDescent="0.2">
      <c r="D289" s="20"/>
      <c r="J289" s="20"/>
      <c r="P289" s="20"/>
      <c r="R289" s="20"/>
    </row>
    <row r="290" spans="4:18" ht="12.75" x14ac:dyDescent="0.2">
      <c r="D290" s="20"/>
      <c r="J290" s="20"/>
      <c r="P290" s="20"/>
      <c r="R290" s="20"/>
    </row>
    <row r="291" spans="4:18" ht="12.75" x14ac:dyDescent="0.2">
      <c r="D291" s="20"/>
      <c r="J291" s="20"/>
      <c r="P291" s="20"/>
      <c r="R291" s="20"/>
    </row>
    <row r="292" spans="4:18" ht="12.75" x14ac:dyDescent="0.2">
      <c r="D292" s="20"/>
      <c r="J292" s="20"/>
      <c r="P292" s="20"/>
      <c r="R292" s="20"/>
    </row>
    <row r="293" spans="4:18" ht="12.75" x14ac:dyDescent="0.2">
      <c r="D293" s="20"/>
      <c r="J293" s="20"/>
      <c r="P293" s="20"/>
      <c r="R293" s="20"/>
    </row>
    <row r="294" spans="4:18" ht="12.75" x14ac:dyDescent="0.2">
      <c r="D294" s="20"/>
      <c r="J294" s="20"/>
      <c r="P294" s="20"/>
      <c r="R294" s="20"/>
    </row>
    <row r="295" spans="4:18" ht="12.75" x14ac:dyDescent="0.2">
      <c r="D295" s="20"/>
      <c r="J295" s="20"/>
      <c r="P295" s="20"/>
      <c r="R295" s="20"/>
    </row>
    <row r="296" spans="4:18" ht="12.75" x14ac:dyDescent="0.2">
      <c r="D296" s="20"/>
      <c r="J296" s="20"/>
      <c r="P296" s="20"/>
      <c r="R296" s="20"/>
    </row>
    <row r="297" spans="4:18" ht="12.75" x14ac:dyDescent="0.2">
      <c r="D297" s="20"/>
      <c r="J297" s="20"/>
      <c r="P297" s="20"/>
      <c r="R297" s="20"/>
    </row>
    <row r="298" spans="4:18" ht="12.75" x14ac:dyDescent="0.2">
      <c r="D298" s="20"/>
      <c r="J298" s="20"/>
      <c r="P298" s="20"/>
      <c r="R298" s="20"/>
    </row>
    <row r="299" spans="4:18" ht="12.75" x14ac:dyDescent="0.2">
      <c r="D299" s="20"/>
      <c r="J299" s="20"/>
      <c r="P299" s="20"/>
      <c r="R299" s="20"/>
    </row>
    <row r="300" spans="4:18" ht="12.75" x14ac:dyDescent="0.2">
      <c r="D300" s="20"/>
      <c r="J300" s="20"/>
      <c r="P300" s="20"/>
      <c r="R300" s="20"/>
    </row>
    <row r="301" spans="4:18" ht="12.75" x14ac:dyDescent="0.2">
      <c r="D301" s="20"/>
      <c r="J301" s="20"/>
      <c r="P301" s="20"/>
      <c r="R301" s="20"/>
    </row>
    <row r="302" spans="4:18" ht="12.75" x14ac:dyDescent="0.2">
      <c r="D302" s="20"/>
      <c r="J302" s="20"/>
      <c r="P302" s="20"/>
      <c r="R302" s="20"/>
    </row>
    <row r="303" spans="4:18" ht="12.75" x14ac:dyDescent="0.2">
      <c r="D303" s="20"/>
      <c r="J303" s="20"/>
      <c r="P303" s="20"/>
      <c r="R303" s="20"/>
    </row>
    <row r="304" spans="4:18" ht="12.75" x14ac:dyDescent="0.2">
      <c r="D304" s="20"/>
      <c r="J304" s="20"/>
      <c r="P304" s="20"/>
      <c r="R304" s="20"/>
    </row>
    <row r="305" spans="4:18" ht="12.75" x14ac:dyDescent="0.2">
      <c r="D305" s="20"/>
      <c r="J305" s="20"/>
      <c r="P305" s="20"/>
      <c r="R305" s="20"/>
    </row>
    <row r="306" spans="4:18" ht="12.75" x14ac:dyDescent="0.2">
      <c r="D306" s="20"/>
      <c r="J306" s="20"/>
      <c r="P306" s="20"/>
      <c r="R306" s="20"/>
    </row>
    <row r="307" spans="4:18" ht="12.75" x14ac:dyDescent="0.2">
      <c r="D307" s="20"/>
      <c r="J307" s="20"/>
      <c r="P307" s="20"/>
      <c r="R307" s="20"/>
    </row>
    <row r="308" spans="4:18" ht="12.75" x14ac:dyDescent="0.2">
      <c r="D308" s="20"/>
      <c r="J308" s="20"/>
      <c r="P308" s="20"/>
      <c r="R308" s="20"/>
    </row>
    <row r="309" spans="4:18" ht="12.75" x14ac:dyDescent="0.2">
      <c r="D309" s="20"/>
      <c r="J309" s="20"/>
      <c r="P309" s="20"/>
      <c r="R309" s="20"/>
    </row>
    <row r="310" spans="4:18" ht="12.75" x14ac:dyDescent="0.2">
      <c r="D310" s="20"/>
      <c r="J310" s="20"/>
      <c r="P310" s="20"/>
      <c r="R310" s="20"/>
    </row>
    <row r="311" spans="4:18" ht="12.75" x14ac:dyDescent="0.2">
      <c r="D311" s="20"/>
      <c r="J311" s="20"/>
      <c r="P311" s="20"/>
      <c r="R311" s="20"/>
    </row>
    <row r="312" spans="4:18" ht="12.75" x14ac:dyDescent="0.2">
      <c r="D312" s="20"/>
      <c r="J312" s="20"/>
      <c r="P312" s="20"/>
      <c r="R312" s="20"/>
    </row>
    <row r="313" spans="4:18" ht="12.75" x14ac:dyDescent="0.2">
      <c r="D313" s="20"/>
      <c r="J313" s="20"/>
      <c r="P313" s="20"/>
      <c r="R313" s="20"/>
    </row>
    <row r="314" spans="4:18" ht="12.75" x14ac:dyDescent="0.2">
      <c r="D314" s="20"/>
      <c r="J314" s="20"/>
      <c r="P314" s="20"/>
      <c r="R314" s="20"/>
    </row>
    <row r="315" spans="4:18" ht="12.75" x14ac:dyDescent="0.2">
      <c r="D315" s="20"/>
      <c r="J315" s="20"/>
      <c r="P315" s="20"/>
      <c r="R315" s="20"/>
    </row>
    <row r="316" spans="4:18" ht="12.75" x14ac:dyDescent="0.2">
      <c r="D316" s="20"/>
      <c r="J316" s="20"/>
      <c r="P316" s="20"/>
      <c r="R316" s="20"/>
    </row>
    <row r="317" spans="4:18" ht="12.75" x14ac:dyDescent="0.2">
      <c r="D317" s="20"/>
      <c r="J317" s="20"/>
      <c r="P317" s="20"/>
      <c r="R317" s="20"/>
    </row>
    <row r="318" spans="4:18" ht="12.75" x14ac:dyDescent="0.2">
      <c r="D318" s="20"/>
      <c r="J318" s="20"/>
      <c r="P318" s="20"/>
      <c r="R318" s="20"/>
    </row>
    <row r="319" spans="4:18" ht="12.75" x14ac:dyDescent="0.2">
      <c r="D319" s="20"/>
      <c r="J319" s="20"/>
      <c r="P319" s="20"/>
      <c r="R319" s="20"/>
    </row>
    <row r="320" spans="4:18" ht="12.75" x14ac:dyDescent="0.2">
      <c r="D320" s="20"/>
      <c r="J320" s="20"/>
      <c r="P320" s="20"/>
      <c r="R320" s="20"/>
    </row>
    <row r="321" spans="4:18" ht="12.75" x14ac:dyDescent="0.2">
      <c r="D321" s="20"/>
      <c r="J321" s="20"/>
      <c r="P321" s="20"/>
      <c r="R321" s="20"/>
    </row>
    <row r="322" spans="4:18" ht="12.75" x14ac:dyDescent="0.2">
      <c r="D322" s="20"/>
      <c r="J322" s="20"/>
      <c r="P322" s="20"/>
      <c r="R322" s="20"/>
    </row>
    <row r="323" spans="4:18" ht="12.75" x14ac:dyDescent="0.2">
      <c r="D323" s="20"/>
      <c r="J323" s="20"/>
      <c r="P323" s="20"/>
      <c r="R323" s="20"/>
    </row>
    <row r="324" spans="4:18" ht="12.75" x14ac:dyDescent="0.2">
      <c r="D324" s="20"/>
      <c r="J324" s="20"/>
      <c r="P324" s="20"/>
      <c r="R324" s="20"/>
    </row>
    <row r="325" spans="4:18" ht="12.75" x14ac:dyDescent="0.2">
      <c r="D325" s="20"/>
      <c r="J325" s="20"/>
      <c r="P325" s="20"/>
      <c r="R325" s="20"/>
    </row>
    <row r="326" spans="4:18" ht="12.75" x14ac:dyDescent="0.2">
      <c r="D326" s="20"/>
      <c r="J326" s="20"/>
      <c r="P326" s="20"/>
      <c r="R326" s="20"/>
    </row>
    <row r="327" spans="4:18" ht="12.75" x14ac:dyDescent="0.2">
      <c r="D327" s="20"/>
      <c r="J327" s="20"/>
      <c r="P327" s="20"/>
      <c r="R327" s="20"/>
    </row>
    <row r="328" spans="4:18" ht="12.75" x14ac:dyDescent="0.2">
      <c r="D328" s="20"/>
      <c r="J328" s="20"/>
      <c r="P328" s="20"/>
      <c r="R328" s="20"/>
    </row>
    <row r="329" spans="4:18" ht="12.75" x14ac:dyDescent="0.2">
      <c r="D329" s="20"/>
      <c r="J329" s="20"/>
      <c r="P329" s="20"/>
      <c r="R329" s="20"/>
    </row>
    <row r="330" spans="4:18" ht="12.75" x14ac:dyDescent="0.2">
      <c r="D330" s="20"/>
      <c r="J330" s="20"/>
      <c r="P330" s="20"/>
      <c r="R330" s="20"/>
    </row>
    <row r="331" spans="4:18" ht="12.75" x14ac:dyDescent="0.2">
      <c r="D331" s="20"/>
      <c r="J331" s="20"/>
      <c r="P331" s="20"/>
      <c r="R331" s="20"/>
    </row>
    <row r="332" spans="4:18" ht="12.75" x14ac:dyDescent="0.2">
      <c r="D332" s="20"/>
      <c r="J332" s="20"/>
      <c r="P332" s="20"/>
      <c r="R332" s="20"/>
    </row>
    <row r="333" spans="4:18" ht="12.75" x14ac:dyDescent="0.2">
      <c r="D333" s="20"/>
      <c r="J333" s="20"/>
      <c r="P333" s="20"/>
      <c r="R333" s="20"/>
    </row>
    <row r="334" spans="4:18" ht="12.75" x14ac:dyDescent="0.2">
      <c r="D334" s="20"/>
      <c r="J334" s="20"/>
      <c r="P334" s="20"/>
      <c r="R334" s="20"/>
    </row>
    <row r="335" spans="4:18" ht="12.75" x14ac:dyDescent="0.2">
      <c r="D335" s="20"/>
      <c r="J335" s="20"/>
      <c r="P335" s="20"/>
      <c r="R335" s="20"/>
    </row>
    <row r="336" spans="4:18" ht="12.75" x14ac:dyDescent="0.2">
      <c r="D336" s="20"/>
      <c r="J336" s="20"/>
      <c r="P336" s="20"/>
      <c r="R336" s="20"/>
    </row>
    <row r="337" spans="4:18" ht="12.75" x14ac:dyDescent="0.2">
      <c r="D337" s="20"/>
      <c r="J337" s="20"/>
      <c r="P337" s="20"/>
      <c r="R337" s="20"/>
    </row>
    <row r="338" spans="4:18" ht="12.75" x14ac:dyDescent="0.2">
      <c r="D338" s="20"/>
      <c r="J338" s="20"/>
      <c r="P338" s="20"/>
      <c r="R338" s="20"/>
    </row>
    <row r="339" spans="4:18" ht="12.75" x14ac:dyDescent="0.2">
      <c r="D339" s="20"/>
      <c r="J339" s="20"/>
      <c r="P339" s="20"/>
      <c r="R339" s="20"/>
    </row>
    <row r="340" spans="4:18" ht="12.75" x14ac:dyDescent="0.2">
      <c r="D340" s="20"/>
      <c r="J340" s="20"/>
      <c r="P340" s="20"/>
      <c r="R340" s="20"/>
    </row>
    <row r="341" spans="4:18" ht="12.75" x14ac:dyDescent="0.2">
      <c r="D341" s="20"/>
      <c r="J341" s="20"/>
      <c r="P341" s="20"/>
      <c r="R341" s="20"/>
    </row>
    <row r="342" spans="4:18" ht="12.75" x14ac:dyDescent="0.2">
      <c r="D342" s="20"/>
      <c r="J342" s="20"/>
      <c r="P342" s="20"/>
      <c r="R342" s="20"/>
    </row>
    <row r="343" spans="4:18" ht="12.75" x14ac:dyDescent="0.2">
      <c r="D343" s="20"/>
      <c r="J343" s="20"/>
      <c r="P343" s="20"/>
      <c r="R343" s="20"/>
    </row>
    <row r="344" spans="4:18" ht="12.75" x14ac:dyDescent="0.2">
      <c r="D344" s="20"/>
      <c r="J344" s="20"/>
      <c r="P344" s="20"/>
      <c r="R344" s="20"/>
    </row>
    <row r="345" spans="4:18" ht="12.75" x14ac:dyDescent="0.2">
      <c r="D345" s="20"/>
      <c r="J345" s="20"/>
      <c r="P345" s="20"/>
      <c r="R345" s="20"/>
    </row>
    <row r="346" spans="4:18" ht="12.75" x14ac:dyDescent="0.2">
      <c r="D346" s="20"/>
      <c r="J346" s="20"/>
      <c r="P346" s="20"/>
      <c r="R346" s="20"/>
    </row>
    <row r="347" spans="4:18" ht="12.75" x14ac:dyDescent="0.2">
      <c r="D347" s="20"/>
      <c r="J347" s="20"/>
      <c r="P347" s="20"/>
      <c r="R347" s="20"/>
    </row>
    <row r="348" spans="4:18" ht="12.75" x14ac:dyDescent="0.2">
      <c r="D348" s="20"/>
      <c r="J348" s="20"/>
      <c r="P348" s="20"/>
      <c r="R348" s="20"/>
    </row>
    <row r="349" spans="4:18" ht="12.75" x14ac:dyDescent="0.2">
      <c r="D349" s="20"/>
      <c r="J349" s="20"/>
      <c r="P349" s="20"/>
      <c r="R349" s="20"/>
    </row>
    <row r="350" spans="4:18" ht="12.75" x14ac:dyDescent="0.2">
      <c r="D350" s="20"/>
      <c r="J350" s="20"/>
      <c r="P350" s="20"/>
      <c r="R350" s="20"/>
    </row>
    <row r="351" spans="4:18" ht="12.75" x14ac:dyDescent="0.2">
      <c r="D351" s="20"/>
      <c r="J351" s="20"/>
      <c r="P351" s="20"/>
      <c r="R351" s="20"/>
    </row>
    <row r="352" spans="4:18" ht="12.75" x14ac:dyDescent="0.2">
      <c r="D352" s="20"/>
      <c r="J352" s="20"/>
      <c r="P352" s="20"/>
      <c r="R352" s="20"/>
    </row>
    <row r="353" spans="4:18" ht="12.75" x14ac:dyDescent="0.2">
      <c r="D353" s="20"/>
      <c r="J353" s="20"/>
      <c r="P353" s="20"/>
      <c r="R353" s="20"/>
    </row>
    <row r="354" spans="4:18" ht="12.75" x14ac:dyDescent="0.2">
      <c r="D354" s="20"/>
      <c r="J354" s="20"/>
      <c r="P354" s="20"/>
      <c r="R354" s="20"/>
    </row>
    <row r="355" spans="4:18" ht="12.75" x14ac:dyDescent="0.2">
      <c r="D355" s="20"/>
      <c r="J355" s="20"/>
      <c r="P355" s="20"/>
      <c r="R355" s="20"/>
    </row>
    <row r="356" spans="4:18" ht="12.75" x14ac:dyDescent="0.2">
      <c r="D356" s="20"/>
      <c r="J356" s="20"/>
      <c r="P356" s="20"/>
      <c r="R356" s="20"/>
    </row>
    <row r="357" spans="4:18" ht="12.75" x14ac:dyDescent="0.2">
      <c r="D357" s="20"/>
      <c r="J357" s="20"/>
      <c r="P357" s="20"/>
      <c r="R357" s="20"/>
    </row>
    <row r="358" spans="4:18" ht="12.75" x14ac:dyDescent="0.2">
      <c r="D358" s="20"/>
      <c r="J358" s="20"/>
      <c r="P358" s="20"/>
      <c r="R358" s="20"/>
    </row>
    <row r="359" spans="4:18" ht="12.75" x14ac:dyDescent="0.2">
      <c r="D359" s="20"/>
      <c r="J359" s="20"/>
      <c r="P359" s="20"/>
      <c r="R359" s="20"/>
    </row>
    <row r="360" spans="4:18" ht="12.75" x14ac:dyDescent="0.2">
      <c r="D360" s="20"/>
      <c r="J360" s="20"/>
      <c r="P360" s="20"/>
      <c r="R360" s="20"/>
    </row>
    <row r="361" spans="4:18" ht="12.75" x14ac:dyDescent="0.2">
      <c r="D361" s="20"/>
      <c r="J361" s="20"/>
      <c r="P361" s="20"/>
      <c r="R361" s="20"/>
    </row>
    <row r="362" spans="4:18" ht="12.75" x14ac:dyDescent="0.2">
      <c r="D362" s="20"/>
      <c r="J362" s="20"/>
      <c r="P362" s="20"/>
      <c r="R362" s="20"/>
    </row>
    <row r="363" spans="4:18" ht="12.75" x14ac:dyDescent="0.2">
      <c r="D363" s="20"/>
      <c r="J363" s="20"/>
      <c r="P363" s="20"/>
      <c r="R363" s="20"/>
    </row>
    <row r="364" spans="4:18" ht="12.75" x14ac:dyDescent="0.2">
      <c r="D364" s="20"/>
      <c r="J364" s="20"/>
      <c r="P364" s="20"/>
      <c r="R364" s="20"/>
    </row>
    <row r="365" spans="4:18" ht="12.75" x14ac:dyDescent="0.2">
      <c r="D365" s="20"/>
      <c r="J365" s="20"/>
      <c r="P365" s="20"/>
      <c r="R365" s="20"/>
    </row>
    <row r="366" spans="4:18" ht="12.75" x14ac:dyDescent="0.2">
      <c r="D366" s="20"/>
      <c r="J366" s="20"/>
      <c r="P366" s="20"/>
      <c r="R366" s="20"/>
    </row>
    <row r="367" spans="4:18" ht="12.75" x14ac:dyDescent="0.2">
      <c r="D367" s="20"/>
      <c r="J367" s="20"/>
      <c r="P367" s="20"/>
      <c r="R367" s="20"/>
    </row>
    <row r="368" spans="4:18" ht="12.75" x14ac:dyDescent="0.2">
      <c r="D368" s="20"/>
      <c r="J368" s="20"/>
      <c r="P368" s="20"/>
      <c r="R368" s="20"/>
    </row>
    <row r="369" spans="4:18" ht="12.75" x14ac:dyDescent="0.2">
      <c r="D369" s="20"/>
      <c r="J369" s="20"/>
      <c r="P369" s="20"/>
      <c r="R369" s="20"/>
    </row>
    <row r="370" spans="4:18" ht="12.75" x14ac:dyDescent="0.2">
      <c r="D370" s="20"/>
      <c r="J370" s="20"/>
      <c r="P370" s="20"/>
      <c r="R370" s="20"/>
    </row>
    <row r="371" spans="4:18" ht="12.75" x14ac:dyDescent="0.2">
      <c r="D371" s="20"/>
      <c r="J371" s="20"/>
      <c r="P371" s="20"/>
      <c r="R371" s="20"/>
    </row>
    <row r="372" spans="4:18" ht="12.75" x14ac:dyDescent="0.2">
      <c r="D372" s="20"/>
      <c r="J372" s="20"/>
      <c r="P372" s="20"/>
      <c r="R372" s="20"/>
    </row>
    <row r="373" spans="4:18" ht="12.75" x14ac:dyDescent="0.2">
      <c r="D373" s="20"/>
      <c r="J373" s="20"/>
      <c r="P373" s="20"/>
      <c r="R373" s="20"/>
    </row>
    <row r="374" spans="4:18" ht="12.75" x14ac:dyDescent="0.2">
      <c r="D374" s="20"/>
      <c r="J374" s="20"/>
      <c r="P374" s="20"/>
      <c r="R374" s="20"/>
    </row>
    <row r="375" spans="4:18" ht="12.75" x14ac:dyDescent="0.2">
      <c r="D375" s="20"/>
      <c r="J375" s="20"/>
      <c r="P375" s="20"/>
      <c r="R375" s="20"/>
    </row>
    <row r="376" spans="4:18" ht="12.75" x14ac:dyDescent="0.2">
      <c r="D376" s="20"/>
      <c r="J376" s="20"/>
      <c r="P376" s="20"/>
      <c r="R376" s="20"/>
    </row>
    <row r="377" spans="4:18" ht="12.75" x14ac:dyDescent="0.2">
      <c r="D377" s="20"/>
      <c r="J377" s="20"/>
      <c r="P377" s="20"/>
      <c r="R377" s="20"/>
    </row>
    <row r="378" spans="4:18" ht="12.75" x14ac:dyDescent="0.2">
      <c r="D378" s="20"/>
      <c r="J378" s="20"/>
      <c r="P378" s="20"/>
      <c r="R378" s="20"/>
    </row>
    <row r="379" spans="4:18" ht="12.75" x14ac:dyDescent="0.2">
      <c r="D379" s="20"/>
      <c r="J379" s="20"/>
      <c r="P379" s="20"/>
      <c r="R379" s="20"/>
    </row>
    <row r="380" spans="4:18" ht="12.75" x14ac:dyDescent="0.2">
      <c r="D380" s="20"/>
      <c r="J380" s="20"/>
      <c r="P380" s="20"/>
      <c r="R380" s="20"/>
    </row>
    <row r="381" spans="4:18" ht="12.75" x14ac:dyDescent="0.2">
      <c r="D381" s="20"/>
      <c r="J381" s="20"/>
      <c r="P381" s="20"/>
      <c r="R381" s="20"/>
    </row>
    <row r="382" spans="4:18" ht="12.75" x14ac:dyDescent="0.2">
      <c r="D382" s="20"/>
      <c r="J382" s="20"/>
      <c r="P382" s="20"/>
      <c r="R382" s="20"/>
    </row>
    <row r="383" spans="4:18" ht="12.75" x14ac:dyDescent="0.2">
      <c r="D383" s="20"/>
      <c r="J383" s="20"/>
      <c r="P383" s="20"/>
      <c r="R383" s="20"/>
    </row>
    <row r="384" spans="4:18" ht="12.75" x14ac:dyDescent="0.2">
      <c r="D384" s="20"/>
      <c r="J384" s="20"/>
      <c r="P384" s="20"/>
      <c r="R384" s="20"/>
    </row>
    <row r="385" spans="4:18" ht="12.75" x14ac:dyDescent="0.2">
      <c r="D385" s="20"/>
      <c r="J385" s="20"/>
      <c r="P385" s="20"/>
      <c r="R385" s="20"/>
    </row>
    <row r="386" spans="4:18" ht="12.75" x14ac:dyDescent="0.2">
      <c r="D386" s="20"/>
      <c r="J386" s="20"/>
      <c r="P386" s="20"/>
      <c r="R386" s="20"/>
    </row>
    <row r="387" spans="4:18" ht="12.75" x14ac:dyDescent="0.2">
      <c r="D387" s="20"/>
      <c r="J387" s="20"/>
      <c r="P387" s="20"/>
      <c r="R387" s="20"/>
    </row>
    <row r="388" spans="4:18" ht="12.75" x14ac:dyDescent="0.2">
      <c r="D388" s="20"/>
      <c r="J388" s="20"/>
      <c r="P388" s="20"/>
      <c r="R388" s="20"/>
    </row>
    <row r="389" spans="4:18" ht="12.75" x14ac:dyDescent="0.2">
      <c r="D389" s="20"/>
      <c r="J389" s="20"/>
      <c r="P389" s="20"/>
      <c r="R389" s="20"/>
    </row>
    <row r="390" spans="4:18" ht="12.75" x14ac:dyDescent="0.2">
      <c r="D390" s="20"/>
      <c r="J390" s="20"/>
      <c r="P390" s="20"/>
      <c r="R390" s="20"/>
    </row>
    <row r="391" spans="4:18" ht="12.75" x14ac:dyDescent="0.2">
      <c r="D391" s="20"/>
      <c r="J391" s="20"/>
      <c r="P391" s="20"/>
      <c r="R391" s="20"/>
    </row>
    <row r="392" spans="4:18" ht="12.75" x14ac:dyDescent="0.2">
      <c r="D392" s="20"/>
      <c r="J392" s="20"/>
      <c r="P392" s="20"/>
      <c r="R392" s="20"/>
    </row>
    <row r="393" spans="4:18" ht="12.75" x14ac:dyDescent="0.2">
      <c r="D393" s="20"/>
      <c r="J393" s="20"/>
      <c r="P393" s="20"/>
      <c r="R393" s="20"/>
    </row>
    <row r="394" spans="4:18" ht="12.75" x14ac:dyDescent="0.2">
      <c r="D394" s="20"/>
      <c r="J394" s="20"/>
      <c r="P394" s="20"/>
      <c r="R394" s="20"/>
    </row>
    <row r="395" spans="4:18" ht="12.75" x14ac:dyDescent="0.2">
      <c r="D395" s="20"/>
      <c r="J395" s="20"/>
      <c r="P395" s="20"/>
      <c r="R395" s="20"/>
    </row>
    <row r="396" spans="4:18" ht="12.75" x14ac:dyDescent="0.2">
      <c r="D396" s="20"/>
      <c r="J396" s="20"/>
      <c r="P396" s="20"/>
      <c r="R396" s="20"/>
    </row>
    <row r="397" spans="4:18" ht="12.75" x14ac:dyDescent="0.2">
      <c r="D397" s="20"/>
      <c r="J397" s="20"/>
      <c r="P397" s="20"/>
      <c r="R397" s="20"/>
    </row>
    <row r="398" spans="4:18" ht="12.75" x14ac:dyDescent="0.2">
      <c r="D398" s="20"/>
      <c r="J398" s="20"/>
      <c r="P398" s="20"/>
      <c r="R398" s="20"/>
    </row>
    <row r="399" spans="4:18" ht="12.75" x14ac:dyDescent="0.2">
      <c r="D399" s="20"/>
      <c r="J399" s="20"/>
      <c r="P399" s="20"/>
      <c r="R399" s="20"/>
    </row>
    <row r="400" spans="4:18" ht="12.75" x14ac:dyDescent="0.2">
      <c r="D400" s="20"/>
      <c r="J400" s="20"/>
      <c r="P400" s="20"/>
      <c r="R400" s="20"/>
    </row>
    <row r="401" spans="4:18" ht="12.75" x14ac:dyDescent="0.2">
      <c r="D401" s="20"/>
      <c r="J401" s="20"/>
      <c r="P401" s="20"/>
      <c r="R401" s="20"/>
    </row>
    <row r="402" spans="4:18" ht="12.75" x14ac:dyDescent="0.2">
      <c r="D402" s="20"/>
      <c r="J402" s="20"/>
      <c r="P402" s="20"/>
      <c r="R402" s="20"/>
    </row>
    <row r="403" spans="4:18" ht="12.75" x14ac:dyDescent="0.2">
      <c r="D403" s="20"/>
      <c r="J403" s="20"/>
      <c r="P403" s="20"/>
      <c r="R403" s="20"/>
    </row>
    <row r="404" spans="4:18" ht="12.75" x14ac:dyDescent="0.2">
      <c r="D404" s="20"/>
      <c r="J404" s="20"/>
      <c r="P404" s="20"/>
      <c r="R404" s="20"/>
    </row>
    <row r="405" spans="4:18" ht="12.75" x14ac:dyDescent="0.2">
      <c r="D405" s="20"/>
      <c r="J405" s="20"/>
      <c r="P405" s="20"/>
      <c r="R405" s="20"/>
    </row>
    <row r="406" spans="4:18" ht="12.75" x14ac:dyDescent="0.2">
      <c r="D406" s="20"/>
      <c r="J406" s="20"/>
      <c r="P406" s="20"/>
      <c r="R406" s="20"/>
    </row>
    <row r="407" spans="4:18" ht="12.75" x14ac:dyDescent="0.2">
      <c r="D407" s="20"/>
      <c r="J407" s="20"/>
      <c r="P407" s="20"/>
      <c r="R407" s="20"/>
    </row>
    <row r="408" spans="4:18" ht="12.75" x14ac:dyDescent="0.2">
      <c r="D408" s="20"/>
      <c r="J408" s="20"/>
      <c r="P408" s="20"/>
      <c r="R408" s="20"/>
    </row>
    <row r="409" spans="4:18" ht="12.75" x14ac:dyDescent="0.2">
      <c r="D409" s="20"/>
      <c r="J409" s="20"/>
      <c r="P409" s="20"/>
      <c r="R409" s="20"/>
    </row>
    <row r="410" spans="4:18" ht="12.75" x14ac:dyDescent="0.2">
      <c r="D410" s="20"/>
      <c r="J410" s="20"/>
      <c r="P410" s="20"/>
      <c r="R410" s="20"/>
    </row>
    <row r="411" spans="4:18" ht="12.75" x14ac:dyDescent="0.2">
      <c r="D411" s="20"/>
      <c r="J411" s="20"/>
      <c r="P411" s="20"/>
      <c r="R411" s="20"/>
    </row>
    <row r="412" spans="4:18" ht="12.75" x14ac:dyDescent="0.2">
      <c r="D412" s="20"/>
      <c r="J412" s="20"/>
      <c r="P412" s="20"/>
      <c r="R412" s="20"/>
    </row>
    <row r="413" spans="4:18" ht="12.75" x14ac:dyDescent="0.2">
      <c r="D413" s="20"/>
      <c r="J413" s="20"/>
      <c r="P413" s="20"/>
      <c r="R413" s="20"/>
    </row>
    <row r="414" spans="4:18" ht="12.75" x14ac:dyDescent="0.2">
      <c r="D414" s="20"/>
      <c r="J414" s="20"/>
      <c r="P414" s="20"/>
      <c r="R414" s="20"/>
    </row>
    <row r="415" spans="4:18" ht="12.75" x14ac:dyDescent="0.2">
      <c r="D415" s="20"/>
      <c r="J415" s="20"/>
      <c r="P415" s="20"/>
      <c r="R415" s="20"/>
    </row>
    <row r="416" spans="4:18" ht="12.75" x14ac:dyDescent="0.2">
      <c r="D416" s="20"/>
      <c r="J416" s="20"/>
      <c r="P416" s="20"/>
      <c r="R416" s="20"/>
    </row>
    <row r="417" spans="4:18" ht="12.75" x14ac:dyDescent="0.2">
      <c r="D417" s="20"/>
      <c r="J417" s="20"/>
      <c r="P417" s="20"/>
      <c r="R417" s="20"/>
    </row>
    <row r="418" spans="4:18" ht="12.75" x14ac:dyDescent="0.2">
      <c r="D418" s="20"/>
      <c r="J418" s="20"/>
      <c r="P418" s="20"/>
      <c r="R418" s="20"/>
    </row>
    <row r="419" spans="4:18" ht="12.75" x14ac:dyDescent="0.2">
      <c r="D419" s="20"/>
      <c r="J419" s="20"/>
      <c r="P419" s="20"/>
      <c r="R419" s="20"/>
    </row>
    <row r="420" spans="4:18" ht="12.75" x14ac:dyDescent="0.2">
      <c r="D420" s="20"/>
      <c r="J420" s="20"/>
      <c r="P420" s="20"/>
      <c r="R420" s="20"/>
    </row>
    <row r="421" spans="4:18" ht="12.75" x14ac:dyDescent="0.2">
      <c r="D421" s="20"/>
      <c r="J421" s="20"/>
      <c r="P421" s="20"/>
      <c r="R421" s="20"/>
    </row>
    <row r="422" spans="4:18" ht="12.75" x14ac:dyDescent="0.2">
      <c r="D422" s="20"/>
      <c r="J422" s="20"/>
      <c r="P422" s="20"/>
      <c r="R422" s="20"/>
    </row>
    <row r="423" spans="4:18" ht="12.75" x14ac:dyDescent="0.2">
      <c r="D423" s="20"/>
      <c r="J423" s="20"/>
      <c r="P423" s="20"/>
      <c r="R423" s="20"/>
    </row>
    <row r="424" spans="4:18" ht="12.75" x14ac:dyDescent="0.2">
      <c r="D424" s="20"/>
      <c r="J424" s="20"/>
      <c r="P424" s="20"/>
      <c r="R424" s="20"/>
    </row>
    <row r="425" spans="4:18" ht="12.75" x14ac:dyDescent="0.2">
      <c r="D425" s="20"/>
      <c r="J425" s="20"/>
      <c r="P425" s="20"/>
      <c r="R425" s="20"/>
    </row>
    <row r="426" spans="4:18" ht="12.75" x14ac:dyDescent="0.2">
      <c r="D426" s="20"/>
      <c r="J426" s="20"/>
      <c r="P426" s="20"/>
      <c r="R426" s="20"/>
    </row>
    <row r="427" spans="4:18" ht="12.75" x14ac:dyDescent="0.2">
      <c r="D427" s="20"/>
      <c r="J427" s="20"/>
      <c r="P427" s="20"/>
      <c r="R427" s="20"/>
    </row>
    <row r="428" spans="4:18" ht="12.75" x14ac:dyDescent="0.2">
      <c r="D428" s="20"/>
      <c r="J428" s="20"/>
      <c r="P428" s="20"/>
      <c r="R428" s="20"/>
    </row>
    <row r="429" spans="4:18" ht="12.75" x14ac:dyDescent="0.2">
      <c r="D429" s="20"/>
      <c r="J429" s="20"/>
      <c r="P429" s="20"/>
      <c r="R429" s="20"/>
    </row>
    <row r="430" spans="4:18" ht="12.75" x14ac:dyDescent="0.2">
      <c r="D430" s="20"/>
      <c r="J430" s="20"/>
      <c r="P430" s="20"/>
      <c r="R430" s="20"/>
    </row>
    <row r="431" spans="4:18" ht="12.75" x14ac:dyDescent="0.2">
      <c r="D431" s="20"/>
      <c r="J431" s="20"/>
      <c r="P431" s="20"/>
      <c r="R431" s="20"/>
    </row>
    <row r="432" spans="4:18" ht="12.75" x14ac:dyDescent="0.2">
      <c r="D432" s="20"/>
      <c r="J432" s="20"/>
      <c r="P432" s="20"/>
      <c r="R432" s="20"/>
    </row>
    <row r="433" spans="4:18" ht="12.75" x14ac:dyDescent="0.2">
      <c r="D433" s="20"/>
      <c r="J433" s="20"/>
      <c r="P433" s="20"/>
      <c r="R433" s="20"/>
    </row>
    <row r="434" spans="4:18" ht="12.75" x14ac:dyDescent="0.2">
      <c r="D434" s="20"/>
      <c r="J434" s="20"/>
      <c r="P434" s="20"/>
      <c r="R434" s="20"/>
    </row>
    <row r="435" spans="4:18" ht="12.75" x14ac:dyDescent="0.2">
      <c r="D435" s="20"/>
      <c r="J435" s="20"/>
      <c r="P435" s="20"/>
      <c r="R435" s="20"/>
    </row>
    <row r="436" spans="4:18" ht="12.75" x14ac:dyDescent="0.2">
      <c r="D436" s="20"/>
      <c r="J436" s="20"/>
      <c r="P436" s="20"/>
      <c r="R436" s="20"/>
    </row>
    <row r="437" spans="4:18" ht="12.75" x14ac:dyDescent="0.2">
      <c r="D437" s="20"/>
      <c r="J437" s="20"/>
      <c r="P437" s="20"/>
      <c r="R437" s="20"/>
    </row>
    <row r="438" spans="4:18" ht="12.75" x14ac:dyDescent="0.2">
      <c r="D438" s="20"/>
      <c r="J438" s="20"/>
      <c r="P438" s="20"/>
      <c r="R438" s="20"/>
    </row>
    <row r="439" spans="4:18" ht="12.75" x14ac:dyDescent="0.2">
      <c r="D439" s="20"/>
      <c r="J439" s="20"/>
      <c r="P439" s="20"/>
      <c r="R439" s="20"/>
    </row>
    <row r="440" spans="4:18" ht="12.75" x14ac:dyDescent="0.2">
      <c r="D440" s="20"/>
      <c r="J440" s="20"/>
      <c r="P440" s="20"/>
      <c r="R440" s="20"/>
    </row>
    <row r="441" spans="4:18" ht="12.75" x14ac:dyDescent="0.2">
      <c r="D441" s="20"/>
      <c r="J441" s="20"/>
      <c r="P441" s="20"/>
      <c r="R441" s="20"/>
    </row>
    <row r="442" spans="4:18" ht="12.75" x14ac:dyDescent="0.2">
      <c r="D442" s="20"/>
      <c r="J442" s="20"/>
      <c r="P442" s="20"/>
      <c r="R442" s="20"/>
    </row>
    <row r="443" spans="4:18" ht="12.75" x14ac:dyDescent="0.2">
      <c r="D443" s="20"/>
      <c r="J443" s="20"/>
      <c r="P443" s="20"/>
      <c r="R443" s="20"/>
    </row>
    <row r="444" spans="4:18" ht="12.75" x14ac:dyDescent="0.2">
      <c r="D444" s="20"/>
      <c r="J444" s="20"/>
      <c r="P444" s="20"/>
      <c r="R444" s="20"/>
    </row>
    <row r="445" spans="4:18" ht="12.75" x14ac:dyDescent="0.2">
      <c r="D445" s="20"/>
      <c r="J445" s="20"/>
      <c r="P445" s="20"/>
      <c r="R445" s="20"/>
    </row>
    <row r="446" spans="4:18" ht="12.75" x14ac:dyDescent="0.2">
      <c r="D446" s="20"/>
      <c r="J446" s="20"/>
      <c r="P446" s="20"/>
      <c r="R446" s="20"/>
    </row>
    <row r="447" spans="4:18" ht="12.75" x14ac:dyDescent="0.2">
      <c r="D447" s="20"/>
      <c r="J447" s="20"/>
      <c r="P447" s="20"/>
      <c r="R447" s="20"/>
    </row>
    <row r="448" spans="4:18" ht="12.75" x14ac:dyDescent="0.2">
      <c r="D448" s="20"/>
      <c r="J448" s="20"/>
      <c r="P448" s="20"/>
      <c r="R448" s="20"/>
    </row>
    <row r="449" spans="4:18" ht="12.75" x14ac:dyDescent="0.2">
      <c r="D449" s="20"/>
      <c r="J449" s="20"/>
      <c r="P449" s="20"/>
      <c r="R449" s="20"/>
    </row>
    <row r="450" spans="4:18" ht="12.75" x14ac:dyDescent="0.2">
      <c r="D450" s="20"/>
      <c r="J450" s="20"/>
      <c r="P450" s="20"/>
      <c r="R450" s="20"/>
    </row>
    <row r="451" spans="4:18" ht="12.75" x14ac:dyDescent="0.2">
      <c r="D451" s="20"/>
      <c r="J451" s="20"/>
      <c r="P451" s="20"/>
      <c r="R451" s="20"/>
    </row>
    <row r="452" spans="4:18" ht="12.75" x14ac:dyDescent="0.2">
      <c r="D452" s="20"/>
      <c r="J452" s="20"/>
      <c r="P452" s="20"/>
      <c r="R452" s="20"/>
    </row>
    <row r="453" spans="4:18" ht="12.75" x14ac:dyDescent="0.2">
      <c r="D453" s="20"/>
      <c r="J453" s="20"/>
      <c r="P453" s="20"/>
      <c r="R453" s="20"/>
    </row>
    <row r="454" spans="4:18" ht="12.75" x14ac:dyDescent="0.2">
      <c r="D454" s="20"/>
      <c r="J454" s="20"/>
      <c r="P454" s="20"/>
      <c r="R454" s="20"/>
    </row>
    <row r="455" spans="4:18" ht="12.75" x14ac:dyDescent="0.2">
      <c r="D455" s="20"/>
      <c r="J455" s="20"/>
      <c r="P455" s="20"/>
      <c r="R455" s="20"/>
    </row>
    <row r="456" spans="4:18" ht="12.75" x14ac:dyDescent="0.2">
      <c r="D456" s="20"/>
      <c r="J456" s="20"/>
      <c r="P456" s="20"/>
      <c r="R456" s="20"/>
    </row>
    <row r="457" spans="4:18" ht="12.75" x14ac:dyDescent="0.2">
      <c r="D457" s="20"/>
      <c r="J457" s="20"/>
      <c r="P457" s="20"/>
      <c r="R457" s="20"/>
    </row>
    <row r="458" spans="4:18" ht="12.75" x14ac:dyDescent="0.2">
      <c r="D458" s="20"/>
      <c r="J458" s="20"/>
      <c r="P458" s="20"/>
      <c r="R458" s="20"/>
    </row>
    <row r="459" spans="4:18" ht="12.75" x14ac:dyDescent="0.2">
      <c r="D459" s="20"/>
      <c r="J459" s="20"/>
      <c r="P459" s="20"/>
      <c r="R459" s="20"/>
    </row>
    <row r="460" spans="4:18" ht="12.75" x14ac:dyDescent="0.2">
      <c r="D460" s="20"/>
      <c r="J460" s="20"/>
      <c r="P460" s="20"/>
      <c r="R460" s="20"/>
    </row>
    <row r="461" spans="4:18" ht="12.75" x14ac:dyDescent="0.2">
      <c r="D461" s="20"/>
      <c r="J461" s="20"/>
      <c r="P461" s="20"/>
      <c r="R461" s="20"/>
    </row>
    <row r="462" spans="4:18" ht="12.75" x14ac:dyDescent="0.2">
      <c r="D462" s="20"/>
      <c r="J462" s="20"/>
      <c r="P462" s="20"/>
      <c r="R462" s="20"/>
    </row>
    <row r="463" spans="4:18" ht="12.75" x14ac:dyDescent="0.2">
      <c r="D463" s="20"/>
      <c r="J463" s="20"/>
      <c r="P463" s="20"/>
      <c r="R463" s="20"/>
    </row>
    <row r="464" spans="4:18" ht="12.75" x14ac:dyDescent="0.2">
      <c r="D464" s="20"/>
      <c r="J464" s="20"/>
      <c r="P464" s="20"/>
      <c r="R464" s="20"/>
    </row>
    <row r="465" spans="4:18" ht="12.75" x14ac:dyDescent="0.2">
      <c r="D465" s="20"/>
      <c r="J465" s="20"/>
      <c r="P465" s="20"/>
      <c r="R465" s="20"/>
    </row>
    <row r="466" spans="4:18" ht="12.75" x14ac:dyDescent="0.2">
      <c r="D466" s="20"/>
      <c r="J466" s="20"/>
      <c r="P466" s="20"/>
      <c r="R466" s="20"/>
    </row>
    <row r="467" spans="4:18" ht="12.75" x14ac:dyDescent="0.2">
      <c r="D467" s="20"/>
      <c r="J467" s="20"/>
      <c r="P467" s="20"/>
      <c r="R467" s="20"/>
    </row>
    <row r="468" spans="4:18" ht="12.75" x14ac:dyDescent="0.2">
      <c r="D468" s="20"/>
      <c r="J468" s="20"/>
      <c r="P468" s="20"/>
      <c r="R468" s="20"/>
    </row>
    <row r="469" spans="4:18" ht="12.75" x14ac:dyDescent="0.2">
      <c r="D469" s="20"/>
      <c r="J469" s="20"/>
      <c r="P469" s="20"/>
      <c r="R469" s="20"/>
    </row>
    <row r="470" spans="4:18" ht="12.75" x14ac:dyDescent="0.2">
      <c r="D470" s="20"/>
      <c r="J470" s="20"/>
      <c r="P470" s="20"/>
      <c r="R470" s="20"/>
    </row>
    <row r="471" spans="4:18" ht="12.75" x14ac:dyDescent="0.2">
      <c r="D471" s="20"/>
      <c r="J471" s="20"/>
      <c r="P471" s="20"/>
      <c r="R471" s="20"/>
    </row>
    <row r="472" spans="4:18" ht="12.75" x14ac:dyDescent="0.2">
      <c r="D472" s="20"/>
      <c r="J472" s="20"/>
      <c r="P472" s="20"/>
      <c r="R472" s="20"/>
    </row>
    <row r="473" spans="4:18" ht="12.75" x14ac:dyDescent="0.2">
      <c r="D473" s="20"/>
      <c r="J473" s="20"/>
      <c r="P473" s="20"/>
      <c r="R473" s="20"/>
    </row>
    <row r="474" spans="4:18" ht="12.75" x14ac:dyDescent="0.2">
      <c r="D474" s="20"/>
      <c r="J474" s="20"/>
      <c r="P474" s="20"/>
      <c r="R474" s="20"/>
    </row>
    <row r="475" spans="4:18" ht="12.75" x14ac:dyDescent="0.2">
      <c r="D475" s="20"/>
      <c r="J475" s="20"/>
      <c r="P475" s="20"/>
      <c r="R475" s="20"/>
    </row>
    <row r="476" spans="4:18" ht="12.75" x14ac:dyDescent="0.2">
      <c r="D476" s="20"/>
      <c r="J476" s="20"/>
      <c r="P476" s="20"/>
      <c r="R476" s="20"/>
    </row>
    <row r="477" spans="4:18" ht="12.75" x14ac:dyDescent="0.2">
      <c r="D477" s="20"/>
      <c r="J477" s="20"/>
      <c r="P477" s="20"/>
      <c r="R477" s="20"/>
    </row>
    <row r="478" spans="4:18" ht="12.75" x14ac:dyDescent="0.2">
      <c r="D478" s="20"/>
      <c r="J478" s="20"/>
      <c r="P478" s="20"/>
      <c r="R478" s="20"/>
    </row>
    <row r="479" spans="4:18" ht="12.75" x14ac:dyDescent="0.2">
      <c r="D479" s="20"/>
      <c r="J479" s="20"/>
      <c r="P479" s="20"/>
      <c r="R479" s="20"/>
    </row>
    <row r="480" spans="4:18" ht="12.75" x14ac:dyDescent="0.2">
      <c r="D480" s="20"/>
      <c r="J480" s="20"/>
      <c r="P480" s="20"/>
      <c r="R480" s="20"/>
    </row>
    <row r="481" spans="4:18" ht="12.75" x14ac:dyDescent="0.2">
      <c r="D481" s="20"/>
      <c r="J481" s="20"/>
      <c r="P481" s="20"/>
      <c r="R481" s="20"/>
    </row>
    <row r="482" spans="4:18" ht="12.75" x14ac:dyDescent="0.2">
      <c r="D482" s="20"/>
      <c r="J482" s="20"/>
      <c r="P482" s="20"/>
      <c r="R482" s="20"/>
    </row>
    <row r="483" spans="4:18" ht="12.75" x14ac:dyDescent="0.2">
      <c r="D483" s="20"/>
      <c r="J483" s="20"/>
      <c r="P483" s="20"/>
      <c r="R483" s="20"/>
    </row>
    <row r="484" spans="4:18" ht="12.75" x14ac:dyDescent="0.2">
      <c r="D484" s="20"/>
      <c r="J484" s="20"/>
      <c r="P484" s="20"/>
      <c r="R484" s="20"/>
    </row>
    <row r="485" spans="4:18" ht="12.75" x14ac:dyDescent="0.2">
      <c r="D485" s="20"/>
      <c r="J485" s="20"/>
      <c r="P485" s="20"/>
      <c r="R485" s="20"/>
    </row>
    <row r="486" spans="4:18" ht="12.75" x14ac:dyDescent="0.2">
      <c r="D486" s="20"/>
      <c r="J486" s="20"/>
      <c r="P486" s="20"/>
      <c r="R486" s="20"/>
    </row>
    <row r="487" spans="4:18" ht="12.75" x14ac:dyDescent="0.2">
      <c r="D487" s="20"/>
      <c r="J487" s="20"/>
      <c r="P487" s="20"/>
      <c r="R487" s="20"/>
    </row>
    <row r="488" spans="4:18" ht="12.75" x14ac:dyDescent="0.2">
      <c r="D488" s="20"/>
      <c r="J488" s="20"/>
      <c r="P488" s="20"/>
      <c r="R488" s="20"/>
    </row>
    <row r="489" spans="4:18" ht="12.75" x14ac:dyDescent="0.2">
      <c r="D489" s="20"/>
      <c r="J489" s="20"/>
      <c r="P489" s="20"/>
      <c r="R489" s="20"/>
    </row>
    <row r="490" spans="4:18" ht="12.75" x14ac:dyDescent="0.2">
      <c r="D490" s="20"/>
      <c r="J490" s="20"/>
      <c r="P490" s="20"/>
      <c r="R490" s="20"/>
    </row>
    <row r="491" spans="4:18" ht="12.75" x14ac:dyDescent="0.2">
      <c r="D491" s="20"/>
      <c r="J491" s="20"/>
      <c r="P491" s="20"/>
      <c r="R491" s="20"/>
    </row>
    <row r="492" spans="4:18" ht="12.75" x14ac:dyDescent="0.2">
      <c r="D492" s="20"/>
      <c r="J492" s="20"/>
      <c r="P492" s="20"/>
      <c r="R492" s="20"/>
    </row>
    <row r="493" spans="4:18" ht="12.75" x14ac:dyDescent="0.2">
      <c r="D493" s="20"/>
      <c r="J493" s="20"/>
      <c r="P493" s="20"/>
      <c r="R493" s="20"/>
    </row>
    <row r="494" spans="4:18" ht="12.75" x14ac:dyDescent="0.2">
      <c r="D494" s="20"/>
      <c r="J494" s="20"/>
      <c r="P494" s="20"/>
      <c r="R494" s="20"/>
    </row>
    <row r="495" spans="4:18" ht="12.75" x14ac:dyDescent="0.2">
      <c r="D495" s="20"/>
      <c r="J495" s="20"/>
      <c r="P495" s="20"/>
      <c r="R495" s="20"/>
    </row>
    <row r="496" spans="4:18" ht="12.75" x14ac:dyDescent="0.2">
      <c r="D496" s="20"/>
      <c r="J496" s="20"/>
      <c r="P496" s="20"/>
      <c r="R496" s="20"/>
    </row>
    <row r="497" spans="4:18" ht="12.75" x14ac:dyDescent="0.2">
      <c r="D497" s="20"/>
      <c r="J497" s="20"/>
      <c r="P497" s="20"/>
      <c r="R497" s="20"/>
    </row>
    <row r="498" spans="4:18" ht="12.75" x14ac:dyDescent="0.2">
      <c r="D498" s="20"/>
      <c r="J498" s="20"/>
      <c r="P498" s="20"/>
      <c r="R498" s="20"/>
    </row>
    <row r="499" spans="4:18" ht="12.75" x14ac:dyDescent="0.2">
      <c r="D499" s="20"/>
      <c r="J499" s="20"/>
      <c r="P499" s="20"/>
      <c r="R499" s="20"/>
    </row>
    <row r="500" spans="4:18" ht="12.75" x14ac:dyDescent="0.2">
      <c r="D500" s="20"/>
      <c r="J500" s="20"/>
      <c r="P500" s="20"/>
      <c r="R500" s="20"/>
    </row>
    <row r="501" spans="4:18" ht="12.75" x14ac:dyDescent="0.2">
      <c r="D501" s="20"/>
      <c r="J501" s="20"/>
      <c r="P501" s="20"/>
      <c r="R501" s="20"/>
    </row>
    <row r="502" spans="4:18" ht="12.75" x14ac:dyDescent="0.2">
      <c r="D502" s="20"/>
      <c r="J502" s="20"/>
      <c r="P502" s="20"/>
      <c r="R502" s="20"/>
    </row>
    <row r="503" spans="4:18" ht="12.75" x14ac:dyDescent="0.2">
      <c r="D503" s="20"/>
      <c r="J503" s="20"/>
      <c r="P503" s="20"/>
      <c r="R503" s="20"/>
    </row>
    <row r="504" spans="4:18" ht="12.75" x14ac:dyDescent="0.2">
      <c r="D504" s="20"/>
      <c r="J504" s="20"/>
      <c r="P504" s="20"/>
      <c r="R504" s="20"/>
    </row>
    <row r="505" spans="4:18" ht="12.75" x14ac:dyDescent="0.2">
      <c r="D505" s="20"/>
      <c r="J505" s="20"/>
      <c r="P505" s="20"/>
      <c r="R505" s="20"/>
    </row>
    <row r="506" spans="4:18" ht="12.75" x14ac:dyDescent="0.2">
      <c r="D506" s="20"/>
      <c r="J506" s="20"/>
      <c r="P506" s="20"/>
      <c r="R506" s="20"/>
    </row>
    <row r="507" spans="4:18" ht="12.75" x14ac:dyDescent="0.2">
      <c r="D507" s="20"/>
      <c r="J507" s="20"/>
      <c r="P507" s="20"/>
      <c r="R507" s="20"/>
    </row>
    <row r="508" spans="4:18" ht="12.75" x14ac:dyDescent="0.2">
      <c r="D508" s="20"/>
      <c r="J508" s="20"/>
      <c r="P508" s="20"/>
      <c r="R508" s="20"/>
    </row>
    <row r="509" spans="4:18" ht="12.75" x14ac:dyDescent="0.2">
      <c r="D509" s="20"/>
      <c r="J509" s="20"/>
      <c r="P509" s="20"/>
      <c r="R509" s="20"/>
    </row>
    <row r="510" spans="4:18" ht="12.75" x14ac:dyDescent="0.2">
      <c r="D510" s="20"/>
      <c r="J510" s="20"/>
      <c r="P510" s="20"/>
      <c r="R510" s="20"/>
    </row>
    <row r="511" spans="4:18" ht="12.75" x14ac:dyDescent="0.2">
      <c r="D511" s="20"/>
      <c r="J511" s="20"/>
      <c r="P511" s="20"/>
      <c r="R511" s="20"/>
    </row>
    <row r="512" spans="4:18" ht="12.75" x14ac:dyDescent="0.2">
      <c r="D512" s="20"/>
      <c r="J512" s="20"/>
      <c r="P512" s="20"/>
      <c r="R512" s="20"/>
    </row>
    <row r="513" spans="4:18" ht="12.75" x14ac:dyDescent="0.2">
      <c r="D513" s="20"/>
      <c r="J513" s="20"/>
      <c r="P513" s="20"/>
      <c r="R513" s="20"/>
    </row>
    <row r="514" spans="4:18" ht="12.75" x14ac:dyDescent="0.2">
      <c r="D514" s="20"/>
      <c r="J514" s="20"/>
      <c r="P514" s="20"/>
      <c r="R514" s="20"/>
    </row>
    <row r="515" spans="4:18" ht="12.75" x14ac:dyDescent="0.2">
      <c r="D515" s="20"/>
      <c r="J515" s="20"/>
      <c r="P515" s="20"/>
      <c r="R515" s="20"/>
    </row>
    <row r="516" spans="4:18" ht="12.75" x14ac:dyDescent="0.2">
      <c r="D516" s="20"/>
      <c r="J516" s="20"/>
      <c r="P516" s="20"/>
      <c r="R516" s="20"/>
    </row>
    <row r="517" spans="4:18" ht="12.75" x14ac:dyDescent="0.2">
      <c r="D517" s="20"/>
      <c r="J517" s="20"/>
      <c r="P517" s="20"/>
      <c r="R517" s="20"/>
    </row>
    <row r="518" spans="4:18" ht="12.75" x14ac:dyDescent="0.2">
      <c r="D518" s="20"/>
      <c r="J518" s="20"/>
      <c r="P518" s="20"/>
      <c r="R518" s="20"/>
    </row>
    <row r="519" spans="4:18" ht="12.75" x14ac:dyDescent="0.2">
      <c r="D519" s="20"/>
      <c r="J519" s="20"/>
      <c r="P519" s="20"/>
      <c r="R519" s="20"/>
    </row>
    <row r="520" spans="4:18" ht="12.75" x14ac:dyDescent="0.2">
      <c r="D520" s="20"/>
      <c r="J520" s="20"/>
      <c r="P520" s="20"/>
      <c r="R520" s="20"/>
    </row>
    <row r="521" spans="4:18" ht="12.75" x14ac:dyDescent="0.2">
      <c r="D521" s="20"/>
      <c r="J521" s="20"/>
      <c r="P521" s="20"/>
      <c r="R521" s="20"/>
    </row>
    <row r="522" spans="4:18" ht="12.75" x14ac:dyDescent="0.2">
      <c r="D522" s="20"/>
      <c r="J522" s="20"/>
      <c r="P522" s="20"/>
      <c r="R522" s="20"/>
    </row>
    <row r="523" spans="4:18" ht="12.75" x14ac:dyDescent="0.2">
      <c r="D523" s="20"/>
      <c r="J523" s="20"/>
      <c r="P523" s="20"/>
      <c r="R523" s="20"/>
    </row>
    <row r="524" spans="4:18" ht="12.75" x14ac:dyDescent="0.2">
      <c r="D524" s="20"/>
      <c r="J524" s="20"/>
      <c r="P524" s="20"/>
      <c r="R524" s="20"/>
    </row>
    <row r="525" spans="4:18" ht="12.75" x14ac:dyDescent="0.2">
      <c r="D525" s="20"/>
      <c r="J525" s="20"/>
      <c r="P525" s="20"/>
      <c r="R525" s="20"/>
    </row>
    <row r="526" spans="4:18" ht="12.75" x14ac:dyDescent="0.2">
      <c r="D526" s="20"/>
      <c r="J526" s="20"/>
      <c r="P526" s="20"/>
      <c r="R526" s="20"/>
    </row>
    <row r="527" spans="4:18" ht="12.75" x14ac:dyDescent="0.2">
      <c r="D527" s="20"/>
      <c r="J527" s="20"/>
      <c r="P527" s="20"/>
      <c r="R527" s="20"/>
    </row>
    <row r="528" spans="4:18" ht="12.75" x14ac:dyDescent="0.2">
      <c r="D528" s="20"/>
      <c r="J528" s="20"/>
      <c r="P528" s="20"/>
      <c r="R528" s="20"/>
    </row>
    <row r="529" spans="4:18" ht="12.75" x14ac:dyDescent="0.2">
      <c r="D529" s="20"/>
      <c r="J529" s="20"/>
      <c r="P529" s="20"/>
      <c r="R529" s="20"/>
    </row>
    <row r="530" spans="4:18" ht="12.75" x14ac:dyDescent="0.2">
      <c r="D530" s="20"/>
      <c r="J530" s="20"/>
      <c r="P530" s="20"/>
      <c r="R530" s="20"/>
    </row>
    <row r="531" spans="4:18" ht="12.75" x14ac:dyDescent="0.2">
      <c r="D531" s="20"/>
      <c r="J531" s="20"/>
      <c r="P531" s="20"/>
      <c r="R531" s="20"/>
    </row>
    <row r="532" spans="4:18" ht="12.75" x14ac:dyDescent="0.2">
      <c r="D532" s="20"/>
      <c r="J532" s="20"/>
      <c r="P532" s="20"/>
      <c r="R532" s="20"/>
    </row>
    <row r="533" spans="4:18" ht="12.75" x14ac:dyDescent="0.2">
      <c r="D533" s="20"/>
      <c r="J533" s="20"/>
      <c r="P533" s="20"/>
      <c r="R533" s="20"/>
    </row>
    <row r="534" spans="4:18" ht="12.75" x14ac:dyDescent="0.2">
      <c r="D534" s="20"/>
      <c r="J534" s="20"/>
      <c r="P534" s="20"/>
      <c r="R534" s="20"/>
    </row>
    <row r="535" spans="4:18" ht="12.75" x14ac:dyDescent="0.2">
      <c r="D535" s="20"/>
      <c r="J535" s="20"/>
      <c r="P535" s="20"/>
      <c r="R535" s="20"/>
    </row>
    <row r="536" spans="4:18" ht="12.75" x14ac:dyDescent="0.2">
      <c r="D536" s="20"/>
      <c r="J536" s="20"/>
      <c r="P536" s="20"/>
      <c r="R536" s="20"/>
    </row>
    <row r="537" spans="4:18" ht="12.75" x14ac:dyDescent="0.2">
      <c r="D537" s="20"/>
      <c r="J537" s="20"/>
      <c r="P537" s="20"/>
      <c r="R537" s="20"/>
    </row>
    <row r="538" spans="4:18" ht="12.75" x14ac:dyDescent="0.2">
      <c r="D538" s="20"/>
      <c r="J538" s="20"/>
      <c r="P538" s="20"/>
      <c r="R538" s="20"/>
    </row>
    <row r="539" spans="4:18" ht="12.75" x14ac:dyDescent="0.2">
      <c r="D539" s="20"/>
      <c r="J539" s="20"/>
      <c r="P539" s="20"/>
      <c r="R539" s="20"/>
    </row>
    <row r="540" spans="4:18" ht="12.75" x14ac:dyDescent="0.2">
      <c r="D540" s="20"/>
      <c r="J540" s="20"/>
      <c r="P540" s="20"/>
      <c r="R540" s="20"/>
    </row>
    <row r="541" spans="4:18" ht="12.75" x14ac:dyDescent="0.2">
      <c r="D541" s="20"/>
      <c r="J541" s="20"/>
      <c r="P541" s="20"/>
      <c r="R541" s="20"/>
    </row>
    <row r="542" spans="4:18" ht="12.75" x14ac:dyDescent="0.2">
      <c r="D542" s="20"/>
      <c r="J542" s="20"/>
      <c r="P542" s="20"/>
      <c r="R542" s="20"/>
    </row>
    <row r="543" spans="4:18" ht="12.75" x14ac:dyDescent="0.2">
      <c r="D543" s="20"/>
      <c r="J543" s="20"/>
      <c r="P543" s="20"/>
      <c r="R543" s="20"/>
    </row>
    <row r="544" spans="4:18" ht="12.75" x14ac:dyDescent="0.2">
      <c r="D544" s="20"/>
      <c r="J544" s="20"/>
      <c r="P544" s="20"/>
      <c r="R544" s="20"/>
    </row>
    <row r="545" spans="4:18" ht="12.75" x14ac:dyDescent="0.2">
      <c r="D545" s="20"/>
      <c r="J545" s="20"/>
      <c r="P545" s="20"/>
      <c r="R545" s="20"/>
    </row>
    <row r="546" spans="4:18" ht="12.75" x14ac:dyDescent="0.2">
      <c r="D546" s="20"/>
      <c r="J546" s="20"/>
      <c r="P546" s="20"/>
      <c r="R546" s="20"/>
    </row>
    <row r="547" spans="4:18" ht="12.75" x14ac:dyDescent="0.2">
      <c r="D547" s="20"/>
      <c r="J547" s="20"/>
      <c r="P547" s="20"/>
      <c r="R547" s="20"/>
    </row>
    <row r="548" spans="4:18" ht="12.75" x14ac:dyDescent="0.2">
      <c r="D548" s="20"/>
      <c r="J548" s="20"/>
      <c r="P548" s="20"/>
      <c r="R548" s="20"/>
    </row>
    <row r="549" spans="4:18" ht="12.75" x14ac:dyDescent="0.2">
      <c r="D549" s="20"/>
      <c r="J549" s="20"/>
      <c r="P549" s="20"/>
      <c r="R549" s="20"/>
    </row>
    <row r="550" spans="4:18" ht="12.75" x14ac:dyDescent="0.2">
      <c r="D550" s="20"/>
      <c r="J550" s="20"/>
      <c r="P550" s="20"/>
      <c r="R550" s="20"/>
    </row>
    <row r="551" spans="4:18" ht="12.75" x14ac:dyDescent="0.2">
      <c r="D551" s="20"/>
      <c r="J551" s="20"/>
      <c r="P551" s="20"/>
      <c r="R551" s="20"/>
    </row>
    <row r="552" spans="4:18" ht="12.75" x14ac:dyDescent="0.2">
      <c r="D552" s="20"/>
      <c r="J552" s="20"/>
      <c r="P552" s="20"/>
      <c r="R552" s="20"/>
    </row>
    <row r="553" spans="4:18" ht="12.75" x14ac:dyDescent="0.2">
      <c r="D553" s="20"/>
      <c r="J553" s="20"/>
      <c r="P553" s="20"/>
      <c r="R553" s="20"/>
    </row>
    <row r="554" spans="4:18" ht="12.75" x14ac:dyDescent="0.2">
      <c r="D554" s="20"/>
      <c r="J554" s="20"/>
      <c r="P554" s="20"/>
      <c r="R554" s="20"/>
    </row>
    <row r="555" spans="4:18" ht="12.75" x14ac:dyDescent="0.2">
      <c r="D555" s="20"/>
      <c r="J555" s="20"/>
      <c r="P555" s="20"/>
      <c r="R555" s="20"/>
    </row>
    <row r="556" spans="4:18" ht="12.75" x14ac:dyDescent="0.2">
      <c r="D556" s="20"/>
      <c r="J556" s="20"/>
      <c r="P556" s="20"/>
      <c r="R556" s="20"/>
    </row>
    <row r="557" spans="4:18" ht="12.75" x14ac:dyDescent="0.2">
      <c r="D557" s="20"/>
      <c r="J557" s="20"/>
      <c r="P557" s="20"/>
      <c r="R557" s="20"/>
    </row>
    <row r="558" spans="4:18" ht="12.75" x14ac:dyDescent="0.2">
      <c r="D558" s="20"/>
      <c r="J558" s="20"/>
      <c r="P558" s="20"/>
      <c r="R558" s="20"/>
    </row>
    <row r="559" spans="4:18" ht="12.75" x14ac:dyDescent="0.2">
      <c r="D559" s="20"/>
      <c r="J559" s="20"/>
      <c r="P559" s="20"/>
      <c r="R559" s="20"/>
    </row>
    <row r="560" spans="4:18" ht="12.75" x14ac:dyDescent="0.2">
      <c r="D560" s="20"/>
      <c r="J560" s="20"/>
      <c r="P560" s="20"/>
      <c r="R560" s="20"/>
    </row>
    <row r="561" spans="4:18" ht="12.75" x14ac:dyDescent="0.2">
      <c r="D561" s="20"/>
      <c r="J561" s="20"/>
      <c r="P561" s="20"/>
      <c r="R561" s="20"/>
    </row>
    <row r="562" spans="4:18" ht="12.75" x14ac:dyDescent="0.2">
      <c r="D562" s="20"/>
      <c r="J562" s="20"/>
      <c r="P562" s="20"/>
      <c r="R562" s="20"/>
    </row>
    <row r="563" spans="4:18" ht="12.75" x14ac:dyDescent="0.2">
      <c r="D563" s="20"/>
      <c r="J563" s="20"/>
      <c r="P563" s="20"/>
      <c r="R563" s="20"/>
    </row>
    <row r="564" spans="4:18" ht="12.75" x14ac:dyDescent="0.2">
      <c r="D564" s="20"/>
      <c r="J564" s="20"/>
      <c r="P564" s="20"/>
      <c r="R564" s="20"/>
    </row>
    <row r="565" spans="4:18" ht="12.75" x14ac:dyDescent="0.2">
      <c r="D565" s="20"/>
      <c r="J565" s="20"/>
      <c r="P565" s="20"/>
      <c r="R565" s="20"/>
    </row>
    <row r="566" spans="4:18" ht="12.75" x14ac:dyDescent="0.2">
      <c r="D566" s="20"/>
      <c r="J566" s="20"/>
      <c r="P566" s="20"/>
      <c r="R566" s="20"/>
    </row>
    <row r="567" spans="4:18" ht="12.75" x14ac:dyDescent="0.2">
      <c r="D567" s="20"/>
      <c r="J567" s="20"/>
      <c r="P567" s="20"/>
      <c r="R567" s="20"/>
    </row>
    <row r="568" spans="4:18" ht="12.75" x14ac:dyDescent="0.2">
      <c r="D568" s="20"/>
      <c r="J568" s="20"/>
      <c r="P568" s="20"/>
      <c r="R568" s="20"/>
    </row>
    <row r="569" spans="4:18" ht="12.75" x14ac:dyDescent="0.2">
      <c r="D569" s="20"/>
      <c r="J569" s="20"/>
      <c r="P569" s="20"/>
      <c r="R569" s="20"/>
    </row>
    <row r="570" spans="4:18" ht="12.75" x14ac:dyDescent="0.2">
      <c r="D570" s="20"/>
      <c r="J570" s="20"/>
      <c r="P570" s="20"/>
      <c r="R570" s="20"/>
    </row>
    <row r="571" spans="4:18" ht="12.75" x14ac:dyDescent="0.2">
      <c r="D571" s="20"/>
      <c r="J571" s="20"/>
      <c r="P571" s="20"/>
      <c r="R571" s="20"/>
    </row>
    <row r="572" spans="4:18" ht="12.75" x14ac:dyDescent="0.2">
      <c r="D572" s="20"/>
      <c r="J572" s="20"/>
      <c r="P572" s="20"/>
      <c r="R572" s="20"/>
    </row>
    <row r="573" spans="4:18" ht="12.75" x14ac:dyDescent="0.2">
      <c r="D573" s="20"/>
      <c r="J573" s="20"/>
      <c r="P573" s="20"/>
      <c r="R573" s="20"/>
    </row>
    <row r="574" spans="4:18" ht="12.75" x14ac:dyDescent="0.2">
      <c r="D574" s="20"/>
      <c r="J574" s="20"/>
      <c r="P574" s="20"/>
      <c r="R574" s="20"/>
    </row>
    <row r="575" spans="4:18" ht="12.75" x14ac:dyDescent="0.2">
      <c r="D575" s="20"/>
      <c r="J575" s="20"/>
      <c r="P575" s="20"/>
      <c r="R575" s="20"/>
    </row>
    <row r="576" spans="4:18" ht="12.75" x14ac:dyDescent="0.2">
      <c r="D576" s="20"/>
      <c r="J576" s="20"/>
      <c r="P576" s="20"/>
      <c r="R576" s="20"/>
    </row>
    <row r="577" spans="4:18" ht="12.75" x14ac:dyDescent="0.2">
      <c r="D577" s="20"/>
      <c r="J577" s="20"/>
      <c r="P577" s="20"/>
      <c r="R577" s="20"/>
    </row>
    <row r="578" spans="4:18" ht="12.75" x14ac:dyDescent="0.2">
      <c r="D578" s="20"/>
      <c r="J578" s="20"/>
      <c r="P578" s="20"/>
      <c r="R578" s="20"/>
    </row>
    <row r="579" spans="4:18" ht="12.75" x14ac:dyDescent="0.2">
      <c r="D579" s="20"/>
      <c r="J579" s="20"/>
      <c r="P579" s="20"/>
      <c r="R579" s="20"/>
    </row>
    <row r="580" spans="4:18" ht="12.75" x14ac:dyDescent="0.2">
      <c r="D580" s="20"/>
      <c r="J580" s="20"/>
      <c r="P580" s="20"/>
      <c r="R580" s="20"/>
    </row>
    <row r="581" spans="4:18" ht="12.75" x14ac:dyDescent="0.2">
      <c r="D581" s="20"/>
      <c r="J581" s="20"/>
      <c r="P581" s="20"/>
      <c r="R581" s="20"/>
    </row>
    <row r="582" spans="4:18" ht="12.75" x14ac:dyDescent="0.2">
      <c r="D582" s="20"/>
      <c r="J582" s="20"/>
      <c r="P582" s="20"/>
      <c r="R582" s="20"/>
    </row>
    <row r="583" spans="4:18" ht="12.75" x14ac:dyDescent="0.2">
      <c r="D583" s="20"/>
      <c r="J583" s="20"/>
      <c r="P583" s="20"/>
      <c r="R583" s="20"/>
    </row>
    <row r="584" spans="4:18" ht="12.75" x14ac:dyDescent="0.2">
      <c r="D584" s="20"/>
      <c r="J584" s="20"/>
      <c r="P584" s="20"/>
      <c r="R584" s="20"/>
    </row>
    <row r="585" spans="4:18" ht="12.75" x14ac:dyDescent="0.2">
      <c r="D585" s="20"/>
      <c r="J585" s="20"/>
      <c r="P585" s="20"/>
      <c r="R585" s="20"/>
    </row>
    <row r="586" spans="4:18" ht="12.75" x14ac:dyDescent="0.2">
      <c r="D586" s="20"/>
      <c r="J586" s="20"/>
      <c r="P586" s="20"/>
      <c r="R586" s="20"/>
    </row>
    <row r="587" spans="4:18" ht="12.75" x14ac:dyDescent="0.2">
      <c r="D587" s="20"/>
      <c r="J587" s="20"/>
      <c r="P587" s="20"/>
      <c r="R587" s="20"/>
    </row>
    <row r="588" spans="4:18" ht="12.75" x14ac:dyDescent="0.2">
      <c r="D588" s="20"/>
      <c r="J588" s="20"/>
      <c r="P588" s="20"/>
      <c r="R588" s="20"/>
    </row>
    <row r="589" spans="4:18" ht="12.75" x14ac:dyDescent="0.2">
      <c r="D589" s="20"/>
      <c r="J589" s="20"/>
      <c r="P589" s="20"/>
      <c r="R589" s="20"/>
    </row>
    <row r="590" spans="4:18" ht="12.75" x14ac:dyDescent="0.2">
      <c r="D590" s="20"/>
      <c r="J590" s="20"/>
      <c r="P590" s="20"/>
      <c r="R590" s="20"/>
    </row>
    <row r="591" spans="4:18" ht="12.75" x14ac:dyDescent="0.2">
      <c r="D591" s="20"/>
      <c r="J591" s="20"/>
      <c r="P591" s="20"/>
      <c r="R591" s="20"/>
    </row>
    <row r="592" spans="4:18" ht="12.75" x14ac:dyDescent="0.2">
      <c r="D592" s="20"/>
      <c r="J592" s="20"/>
      <c r="P592" s="20"/>
      <c r="R592" s="20"/>
    </row>
    <row r="593" spans="4:18" ht="12.75" x14ac:dyDescent="0.2">
      <c r="D593" s="20"/>
      <c r="J593" s="20"/>
      <c r="P593" s="20"/>
      <c r="R593" s="20"/>
    </row>
    <row r="594" spans="4:18" ht="12.75" x14ac:dyDescent="0.2">
      <c r="D594" s="20"/>
      <c r="J594" s="20"/>
      <c r="P594" s="20"/>
      <c r="R594" s="20"/>
    </row>
    <row r="595" spans="4:18" ht="12.75" x14ac:dyDescent="0.2">
      <c r="D595" s="20"/>
      <c r="J595" s="20"/>
      <c r="P595" s="20"/>
      <c r="R595" s="20"/>
    </row>
    <row r="596" spans="4:18" ht="12.75" x14ac:dyDescent="0.2">
      <c r="D596" s="20"/>
      <c r="J596" s="20"/>
      <c r="P596" s="20"/>
      <c r="R596" s="20"/>
    </row>
    <row r="597" spans="4:18" ht="12.75" x14ac:dyDescent="0.2">
      <c r="D597" s="20"/>
      <c r="J597" s="20"/>
      <c r="P597" s="20"/>
      <c r="R597" s="20"/>
    </row>
    <row r="598" spans="4:18" ht="12.75" x14ac:dyDescent="0.2">
      <c r="D598" s="20"/>
      <c r="J598" s="20"/>
      <c r="P598" s="20"/>
      <c r="R598" s="20"/>
    </row>
    <row r="599" spans="4:18" ht="12.75" x14ac:dyDescent="0.2">
      <c r="D599" s="20"/>
      <c r="J599" s="20"/>
      <c r="P599" s="20"/>
      <c r="R599" s="20"/>
    </row>
    <row r="600" spans="4:18" ht="12.75" x14ac:dyDescent="0.2">
      <c r="D600" s="20"/>
      <c r="J600" s="20"/>
      <c r="P600" s="20"/>
      <c r="R600" s="20"/>
    </row>
    <row r="601" spans="4:18" ht="12.75" x14ac:dyDescent="0.2">
      <c r="D601" s="20"/>
      <c r="J601" s="20"/>
      <c r="P601" s="20"/>
      <c r="R601" s="20"/>
    </row>
    <row r="602" spans="4:18" ht="12.75" x14ac:dyDescent="0.2">
      <c r="D602" s="20"/>
      <c r="J602" s="20"/>
      <c r="P602" s="20"/>
      <c r="R602" s="20"/>
    </row>
    <row r="603" spans="4:18" ht="12.75" x14ac:dyDescent="0.2">
      <c r="D603" s="20"/>
      <c r="J603" s="20"/>
      <c r="P603" s="20"/>
      <c r="R603" s="20"/>
    </row>
    <row r="604" spans="4:18" ht="12.75" x14ac:dyDescent="0.2">
      <c r="D604" s="20"/>
      <c r="J604" s="20"/>
      <c r="P604" s="20"/>
      <c r="R604" s="20"/>
    </row>
    <row r="605" spans="4:18" ht="12.75" x14ac:dyDescent="0.2">
      <c r="D605" s="20"/>
      <c r="J605" s="20"/>
      <c r="P605" s="20"/>
      <c r="R605" s="20"/>
    </row>
    <row r="606" spans="4:18" ht="12.75" x14ac:dyDescent="0.2">
      <c r="D606" s="20"/>
      <c r="J606" s="20"/>
      <c r="P606" s="20"/>
      <c r="R606" s="20"/>
    </row>
    <row r="607" spans="4:18" ht="12.75" x14ac:dyDescent="0.2">
      <c r="D607" s="20"/>
      <c r="J607" s="20"/>
      <c r="P607" s="20"/>
      <c r="R607" s="20"/>
    </row>
    <row r="608" spans="4:18" ht="12.75" x14ac:dyDescent="0.2">
      <c r="D608" s="20"/>
      <c r="J608" s="20"/>
      <c r="P608" s="20"/>
      <c r="R608" s="20"/>
    </row>
    <row r="609" spans="4:18" ht="12.75" x14ac:dyDescent="0.2">
      <c r="D609" s="20"/>
      <c r="J609" s="20"/>
      <c r="P609" s="20"/>
      <c r="R609" s="20"/>
    </row>
    <row r="610" spans="4:18" ht="12.75" x14ac:dyDescent="0.2">
      <c r="D610" s="20"/>
      <c r="J610" s="20"/>
      <c r="P610" s="20"/>
      <c r="R610" s="20"/>
    </row>
    <row r="611" spans="4:18" ht="12.75" x14ac:dyDescent="0.2">
      <c r="D611" s="20"/>
      <c r="J611" s="20"/>
      <c r="P611" s="20"/>
      <c r="R611" s="20"/>
    </row>
    <row r="612" spans="4:18" ht="12.75" x14ac:dyDescent="0.2">
      <c r="D612" s="20"/>
      <c r="J612" s="20"/>
      <c r="P612" s="20"/>
      <c r="R612" s="20"/>
    </row>
    <row r="613" spans="4:18" ht="12.75" x14ac:dyDescent="0.2">
      <c r="D613" s="20"/>
      <c r="J613" s="20"/>
      <c r="P613" s="20"/>
      <c r="R613" s="20"/>
    </row>
    <row r="614" spans="4:18" ht="12.75" x14ac:dyDescent="0.2">
      <c r="D614" s="20"/>
      <c r="J614" s="20"/>
      <c r="P614" s="20"/>
      <c r="R614" s="20"/>
    </row>
    <row r="615" spans="4:18" ht="12.75" x14ac:dyDescent="0.2">
      <c r="D615" s="20"/>
      <c r="J615" s="20"/>
      <c r="P615" s="20"/>
      <c r="R615" s="20"/>
    </row>
    <row r="616" spans="4:18" ht="12.75" x14ac:dyDescent="0.2">
      <c r="D616" s="20"/>
      <c r="J616" s="20"/>
      <c r="P616" s="20"/>
      <c r="R616" s="20"/>
    </row>
    <row r="617" spans="4:18" ht="12.75" x14ac:dyDescent="0.2">
      <c r="D617" s="20"/>
      <c r="J617" s="20"/>
      <c r="P617" s="20"/>
      <c r="R617" s="20"/>
    </row>
    <row r="618" spans="4:18" ht="12.75" x14ac:dyDescent="0.2">
      <c r="D618" s="20"/>
      <c r="J618" s="20"/>
      <c r="P618" s="20"/>
      <c r="R618" s="20"/>
    </row>
    <row r="619" spans="4:18" ht="12.75" x14ac:dyDescent="0.2">
      <c r="D619" s="20"/>
      <c r="J619" s="20"/>
      <c r="P619" s="20"/>
      <c r="R619" s="20"/>
    </row>
    <row r="620" spans="4:18" ht="12.75" x14ac:dyDescent="0.2">
      <c r="D620" s="20"/>
      <c r="J620" s="20"/>
      <c r="P620" s="20"/>
      <c r="R620" s="20"/>
    </row>
    <row r="621" spans="4:18" ht="12.75" x14ac:dyDescent="0.2">
      <c r="D621" s="20"/>
      <c r="J621" s="20"/>
      <c r="P621" s="20"/>
      <c r="R621" s="20"/>
    </row>
    <row r="622" spans="4:18" ht="12.75" x14ac:dyDescent="0.2">
      <c r="D622" s="20"/>
      <c r="J622" s="20"/>
      <c r="P622" s="20"/>
      <c r="R622" s="20"/>
    </row>
    <row r="623" spans="4:18" ht="12.75" x14ac:dyDescent="0.2">
      <c r="D623" s="20"/>
      <c r="J623" s="20"/>
      <c r="P623" s="20"/>
      <c r="R623" s="20"/>
    </row>
    <row r="624" spans="4:18" ht="12.75" x14ac:dyDescent="0.2">
      <c r="D624" s="20"/>
      <c r="J624" s="20"/>
      <c r="P624" s="20"/>
      <c r="R624" s="20"/>
    </row>
    <row r="625" spans="4:18" ht="12.75" x14ac:dyDescent="0.2">
      <c r="D625" s="20"/>
      <c r="J625" s="20"/>
      <c r="P625" s="20"/>
      <c r="R625" s="20"/>
    </row>
    <row r="626" spans="4:18" ht="12.75" x14ac:dyDescent="0.2">
      <c r="D626" s="20"/>
      <c r="J626" s="20"/>
      <c r="P626" s="20"/>
      <c r="R626" s="20"/>
    </row>
    <row r="627" spans="4:18" ht="12.75" x14ac:dyDescent="0.2">
      <c r="D627" s="20"/>
      <c r="J627" s="20"/>
      <c r="P627" s="20"/>
      <c r="R627" s="20"/>
    </row>
    <row r="628" spans="4:18" ht="12.75" x14ac:dyDescent="0.2">
      <c r="D628" s="20"/>
      <c r="J628" s="20"/>
      <c r="P628" s="20"/>
      <c r="R628" s="20"/>
    </row>
    <row r="629" spans="4:18" ht="12.75" x14ac:dyDescent="0.2">
      <c r="D629" s="20"/>
      <c r="J629" s="20"/>
      <c r="P629" s="20"/>
      <c r="R629" s="20"/>
    </row>
    <row r="630" spans="4:18" ht="12.75" x14ac:dyDescent="0.2">
      <c r="D630" s="20"/>
      <c r="J630" s="20"/>
      <c r="P630" s="20"/>
      <c r="R630" s="20"/>
    </row>
    <row r="631" spans="4:18" ht="12.75" x14ac:dyDescent="0.2">
      <c r="D631" s="20"/>
      <c r="J631" s="20"/>
      <c r="P631" s="20"/>
      <c r="R631" s="20"/>
    </row>
    <row r="632" spans="4:18" ht="12.75" x14ac:dyDescent="0.2">
      <c r="D632" s="20"/>
      <c r="J632" s="20"/>
      <c r="P632" s="20"/>
      <c r="R632" s="20"/>
    </row>
    <row r="633" spans="4:18" ht="12.75" x14ac:dyDescent="0.2">
      <c r="D633" s="20"/>
      <c r="J633" s="20"/>
      <c r="P633" s="20"/>
      <c r="R633" s="20"/>
    </row>
    <row r="634" spans="4:18" ht="12.75" x14ac:dyDescent="0.2">
      <c r="D634" s="20"/>
      <c r="J634" s="20"/>
      <c r="P634" s="20"/>
      <c r="R634" s="20"/>
    </row>
    <row r="635" spans="4:18" ht="12.75" x14ac:dyDescent="0.2">
      <c r="D635" s="20"/>
      <c r="J635" s="20"/>
      <c r="P635" s="20"/>
      <c r="R635" s="20"/>
    </row>
    <row r="636" spans="4:18" ht="12.75" x14ac:dyDescent="0.2">
      <c r="D636" s="20"/>
      <c r="J636" s="20"/>
      <c r="P636" s="20"/>
      <c r="R636" s="20"/>
    </row>
    <row r="637" spans="4:18" ht="12.75" x14ac:dyDescent="0.2">
      <c r="D637" s="20"/>
      <c r="J637" s="20"/>
      <c r="P637" s="20"/>
      <c r="R637" s="20"/>
    </row>
    <row r="638" spans="4:18" ht="12.75" x14ac:dyDescent="0.2">
      <c r="D638" s="20"/>
      <c r="J638" s="20"/>
      <c r="P638" s="20"/>
      <c r="R638" s="20"/>
    </row>
    <row r="639" spans="4:18" ht="12.75" x14ac:dyDescent="0.2">
      <c r="D639" s="20"/>
      <c r="J639" s="20"/>
      <c r="P639" s="20"/>
      <c r="R639" s="20"/>
    </row>
    <row r="640" spans="4:18" ht="12.75" x14ac:dyDescent="0.2">
      <c r="D640" s="20"/>
      <c r="J640" s="20"/>
      <c r="P640" s="20"/>
      <c r="R640" s="20"/>
    </row>
    <row r="641" spans="4:18" ht="12.75" x14ac:dyDescent="0.2">
      <c r="D641" s="20"/>
      <c r="J641" s="20"/>
      <c r="P641" s="20"/>
      <c r="R641" s="20"/>
    </row>
    <row r="642" spans="4:18" ht="12.75" x14ac:dyDescent="0.2">
      <c r="D642" s="20"/>
      <c r="J642" s="20"/>
      <c r="P642" s="20"/>
      <c r="R642" s="20"/>
    </row>
    <row r="643" spans="4:18" ht="12.75" x14ac:dyDescent="0.2">
      <c r="D643" s="20"/>
      <c r="J643" s="20"/>
      <c r="P643" s="20"/>
      <c r="R643" s="20"/>
    </row>
    <row r="644" spans="4:18" ht="12.75" x14ac:dyDescent="0.2">
      <c r="D644" s="20"/>
      <c r="J644" s="20"/>
      <c r="P644" s="20"/>
      <c r="R644" s="20"/>
    </row>
    <row r="645" spans="4:18" ht="12.75" x14ac:dyDescent="0.2">
      <c r="D645" s="20"/>
      <c r="J645" s="20"/>
      <c r="P645" s="20"/>
      <c r="R645" s="20"/>
    </row>
    <row r="646" spans="4:18" ht="12.75" x14ac:dyDescent="0.2">
      <c r="D646" s="20"/>
      <c r="J646" s="20"/>
      <c r="P646" s="20"/>
      <c r="R646" s="20"/>
    </row>
    <row r="647" spans="4:18" ht="12.75" x14ac:dyDescent="0.2">
      <c r="D647" s="20"/>
      <c r="J647" s="20"/>
      <c r="P647" s="20"/>
      <c r="R647" s="20"/>
    </row>
    <row r="648" spans="4:18" ht="12.75" x14ac:dyDescent="0.2">
      <c r="D648" s="20"/>
      <c r="J648" s="20"/>
      <c r="P648" s="20"/>
      <c r="R648" s="20"/>
    </row>
    <row r="649" spans="4:18" ht="12.75" x14ac:dyDescent="0.2">
      <c r="D649" s="20"/>
      <c r="J649" s="20"/>
      <c r="P649" s="20"/>
      <c r="R649" s="20"/>
    </row>
    <row r="650" spans="4:18" ht="12.75" x14ac:dyDescent="0.2">
      <c r="D650" s="20"/>
      <c r="J650" s="20"/>
      <c r="P650" s="20"/>
      <c r="R650" s="20"/>
    </row>
    <row r="651" spans="4:18" ht="12.75" x14ac:dyDescent="0.2">
      <c r="D651" s="20"/>
      <c r="J651" s="20"/>
      <c r="P651" s="20"/>
      <c r="R651" s="20"/>
    </row>
    <row r="652" spans="4:18" ht="12.75" x14ac:dyDescent="0.2">
      <c r="D652" s="20"/>
      <c r="J652" s="20"/>
      <c r="P652" s="20"/>
      <c r="R652" s="20"/>
    </row>
    <row r="653" spans="4:18" ht="12.75" x14ac:dyDescent="0.2">
      <c r="D653" s="20"/>
      <c r="J653" s="20"/>
      <c r="P653" s="20"/>
      <c r="R653" s="20"/>
    </row>
    <row r="654" spans="4:18" ht="12.75" x14ac:dyDescent="0.2">
      <c r="D654" s="20"/>
      <c r="J654" s="20"/>
      <c r="P654" s="20"/>
      <c r="R654" s="20"/>
    </row>
    <row r="655" spans="4:18" ht="12.75" x14ac:dyDescent="0.2">
      <c r="D655" s="20"/>
      <c r="J655" s="20"/>
      <c r="P655" s="20"/>
      <c r="R655" s="20"/>
    </row>
    <row r="656" spans="4:18" ht="12.75" x14ac:dyDescent="0.2">
      <c r="D656" s="20"/>
      <c r="J656" s="20"/>
      <c r="P656" s="20"/>
      <c r="R656" s="20"/>
    </row>
    <row r="657" spans="4:18" ht="12.75" x14ac:dyDescent="0.2">
      <c r="D657" s="20"/>
      <c r="J657" s="20"/>
      <c r="P657" s="20"/>
      <c r="R657" s="20"/>
    </row>
    <row r="658" spans="4:18" ht="12.75" x14ac:dyDescent="0.2">
      <c r="D658" s="20"/>
      <c r="J658" s="20"/>
      <c r="P658" s="20"/>
      <c r="R658" s="20"/>
    </row>
    <row r="659" spans="4:18" ht="12.75" x14ac:dyDescent="0.2">
      <c r="D659" s="20"/>
      <c r="J659" s="20"/>
      <c r="P659" s="20"/>
      <c r="R659" s="20"/>
    </row>
    <row r="660" spans="4:18" ht="12.75" x14ac:dyDescent="0.2">
      <c r="D660" s="20"/>
      <c r="J660" s="20"/>
      <c r="P660" s="20"/>
      <c r="R660" s="20"/>
    </row>
    <row r="661" spans="4:18" ht="12.75" x14ac:dyDescent="0.2">
      <c r="D661" s="20"/>
      <c r="J661" s="20"/>
      <c r="P661" s="20"/>
      <c r="R661" s="20"/>
    </row>
    <row r="662" spans="4:18" ht="12.75" x14ac:dyDescent="0.2">
      <c r="D662" s="20"/>
      <c r="J662" s="20"/>
      <c r="P662" s="20"/>
      <c r="R662" s="20"/>
    </row>
    <row r="663" spans="4:18" ht="12.75" x14ac:dyDescent="0.2">
      <c r="D663" s="20"/>
      <c r="J663" s="20"/>
      <c r="P663" s="20"/>
      <c r="R663" s="20"/>
    </row>
    <row r="664" spans="4:18" ht="12.75" x14ac:dyDescent="0.2">
      <c r="D664" s="20"/>
      <c r="J664" s="20"/>
      <c r="P664" s="20"/>
      <c r="R664" s="20"/>
    </row>
    <row r="665" spans="4:18" ht="12.75" x14ac:dyDescent="0.2">
      <c r="D665" s="20"/>
      <c r="J665" s="20"/>
      <c r="P665" s="20"/>
      <c r="R665" s="20"/>
    </row>
    <row r="666" spans="4:18" ht="12.75" x14ac:dyDescent="0.2">
      <c r="D666" s="20"/>
      <c r="J666" s="20"/>
      <c r="P666" s="20"/>
      <c r="R666" s="20"/>
    </row>
    <row r="667" spans="4:18" ht="12.75" x14ac:dyDescent="0.2">
      <c r="D667" s="20"/>
      <c r="J667" s="20"/>
      <c r="P667" s="20"/>
      <c r="R667" s="20"/>
    </row>
    <row r="668" spans="4:18" ht="12.75" x14ac:dyDescent="0.2">
      <c r="D668" s="20"/>
      <c r="J668" s="20"/>
      <c r="P668" s="20"/>
      <c r="R668" s="20"/>
    </row>
    <row r="669" spans="4:18" ht="12.75" x14ac:dyDescent="0.2">
      <c r="D669" s="20"/>
      <c r="J669" s="20"/>
      <c r="P669" s="20"/>
      <c r="R669" s="20"/>
    </row>
    <row r="670" spans="4:18" ht="12.75" x14ac:dyDescent="0.2">
      <c r="D670" s="20"/>
      <c r="J670" s="20"/>
      <c r="P670" s="20"/>
      <c r="R670" s="20"/>
    </row>
    <row r="671" spans="4:18" ht="12.75" x14ac:dyDescent="0.2">
      <c r="D671" s="20"/>
      <c r="J671" s="20"/>
      <c r="P671" s="20"/>
      <c r="R671" s="20"/>
    </row>
    <row r="672" spans="4:18" ht="12.75" x14ac:dyDescent="0.2">
      <c r="D672" s="20"/>
      <c r="J672" s="20"/>
      <c r="P672" s="20"/>
      <c r="R672" s="20"/>
    </row>
    <row r="673" spans="4:18" ht="12.75" x14ac:dyDescent="0.2">
      <c r="D673" s="20"/>
      <c r="J673" s="20"/>
      <c r="P673" s="20"/>
      <c r="R673" s="20"/>
    </row>
    <row r="674" spans="4:18" ht="12.75" x14ac:dyDescent="0.2">
      <c r="D674" s="20"/>
      <c r="J674" s="20"/>
      <c r="P674" s="20"/>
      <c r="R674" s="20"/>
    </row>
    <row r="675" spans="4:18" ht="12.75" x14ac:dyDescent="0.2">
      <c r="D675" s="20"/>
      <c r="J675" s="20"/>
      <c r="P675" s="20"/>
      <c r="R675" s="20"/>
    </row>
    <row r="676" spans="4:18" ht="12.75" x14ac:dyDescent="0.2">
      <c r="D676" s="20"/>
      <c r="J676" s="20"/>
      <c r="P676" s="20"/>
      <c r="R676" s="20"/>
    </row>
    <row r="677" spans="4:18" ht="12.75" x14ac:dyDescent="0.2">
      <c r="D677" s="20"/>
      <c r="J677" s="20"/>
      <c r="P677" s="20"/>
      <c r="R677" s="20"/>
    </row>
    <row r="678" spans="4:18" ht="12.75" x14ac:dyDescent="0.2">
      <c r="D678" s="20"/>
      <c r="J678" s="20"/>
      <c r="P678" s="20"/>
      <c r="R678" s="20"/>
    </row>
    <row r="679" spans="4:18" ht="12.75" x14ac:dyDescent="0.2">
      <c r="D679" s="20"/>
      <c r="J679" s="20"/>
      <c r="P679" s="20"/>
      <c r="R679" s="20"/>
    </row>
    <row r="680" spans="4:18" ht="12.75" x14ac:dyDescent="0.2">
      <c r="D680" s="20"/>
      <c r="J680" s="20"/>
      <c r="P680" s="20"/>
      <c r="R680" s="20"/>
    </row>
    <row r="681" spans="4:18" ht="12.75" x14ac:dyDescent="0.2">
      <c r="D681" s="20"/>
      <c r="J681" s="20"/>
      <c r="P681" s="20"/>
      <c r="R681" s="20"/>
    </row>
    <row r="682" spans="4:18" ht="12.75" x14ac:dyDescent="0.2">
      <c r="D682" s="20"/>
      <c r="J682" s="20"/>
      <c r="P682" s="20"/>
      <c r="R682" s="20"/>
    </row>
    <row r="683" spans="4:18" ht="12.75" x14ac:dyDescent="0.2">
      <c r="D683" s="20"/>
      <c r="J683" s="20"/>
      <c r="P683" s="20"/>
      <c r="R683" s="20"/>
    </row>
    <row r="684" spans="4:18" ht="12.75" x14ac:dyDescent="0.2">
      <c r="D684" s="20"/>
      <c r="J684" s="20"/>
      <c r="P684" s="20"/>
      <c r="R684" s="20"/>
    </row>
    <row r="685" spans="4:18" ht="12.75" x14ac:dyDescent="0.2">
      <c r="D685" s="20"/>
      <c r="J685" s="20"/>
      <c r="P685" s="20"/>
      <c r="R685" s="20"/>
    </row>
    <row r="686" spans="4:18" ht="12.75" x14ac:dyDescent="0.2">
      <c r="D686" s="20"/>
      <c r="J686" s="20"/>
      <c r="P686" s="20"/>
      <c r="R686" s="20"/>
    </row>
    <row r="687" spans="4:18" ht="12.75" x14ac:dyDescent="0.2">
      <c r="D687" s="20"/>
      <c r="J687" s="20"/>
      <c r="P687" s="20"/>
      <c r="R687" s="20"/>
    </row>
    <row r="688" spans="4:18" ht="12.75" x14ac:dyDescent="0.2">
      <c r="D688" s="20"/>
      <c r="J688" s="20"/>
      <c r="P688" s="20"/>
      <c r="R688" s="20"/>
    </row>
    <row r="689" spans="4:18" ht="12.75" x14ac:dyDescent="0.2">
      <c r="D689" s="20"/>
      <c r="J689" s="20"/>
      <c r="P689" s="20"/>
      <c r="R689" s="20"/>
    </row>
    <row r="690" spans="4:18" ht="12.75" x14ac:dyDescent="0.2">
      <c r="D690" s="20"/>
      <c r="J690" s="20"/>
      <c r="P690" s="20"/>
      <c r="R690" s="20"/>
    </row>
    <row r="691" spans="4:18" ht="12.75" x14ac:dyDescent="0.2">
      <c r="D691" s="20"/>
      <c r="J691" s="20"/>
      <c r="P691" s="20"/>
      <c r="R691" s="20"/>
    </row>
    <row r="692" spans="4:18" ht="12.75" x14ac:dyDescent="0.2">
      <c r="D692" s="20"/>
      <c r="J692" s="20"/>
      <c r="P692" s="20"/>
      <c r="R692" s="20"/>
    </row>
    <row r="693" spans="4:18" ht="12.75" x14ac:dyDescent="0.2">
      <c r="D693" s="20"/>
      <c r="J693" s="20"/>
      <c r="P693" s="20"/>
      <c r="R693" s="20"/>
    </row>
    <row r="694" spans="4:18" ht="12.75" x14ac:dyDescent="0.2">
      <c r="D694" s="20"/>
      <c r="J694" s="20"/>
      <c r="P694" s="20"/>
      <c r="R694" s="20"/>
    </row>
    <row r="695" spans="4:18" ht="12.75" x14ac:dyDescent="0.2">
      <c r="D695" s="20"/>
      <c r="J695" s="20"/>
      <c r="P695" s="20"/>
      <c r="R695" s="20"/>
    </row>
    <row r="696" spans="4:18" ht="12.75" x14ac:dyDescent="0.2">
      <c r="D696" s="20"/>
      <c r="J696" s="20"/>
      <c r="P696" s="20"/>
      <c r="R696" s="20"/>
    </row>
    <row r="697" spans="4:18" ht="12.75" x14ac:dyDescent="0.2">
      <c r="D697" s="20"/>
      <c r="J697" s="20"/>
      <c r="P697" s="20"/>
      <c r="R697" s="20"/>
    </row>
    <row r="698" spans="4:18" ht="12.75" x14ac:dyDescent="0.2">
      <c r="D698" s="20"/>
      <c r="J698" s="20"/>
      <c r="P698" s="20"/>
      <c r="R698" s="20"/>
    </row>
    <row r="699" spans="4:18" ht="12.75" x14ac:dyDescent="0.2">
      <c r="D699" s="20"/>
      <c r="J699" s="20"/>
      <c r="P699" s="20"/>
      <c r="R699" s="20"/>
    </row>
    <row r="700" spans="4:18" ht="12.75" x14ac:dyDescent="0.2">
      <c r="D700" s="20"/>
      <c r="J700" s="20"/>
      <c r="P700" s="20"/>
      <c r="R700" s="20"/>
    </row>
    <row r="701" spans="4:18" ht="12.75" x14ac:dyDescent="0.2">
      <c r="D701" s="20"/>
      <c r="J701" s="20"/>
      <c r="P701" s="20"/>
      <c r="R701" s="20"/>
    </row>
    <row r="702" spans="4:18" ht="12.75" x14ac:dyDescent="0.2">
      <c r="D702" s="20"/>
      <c r="J702" s="20"/>
      <c r="P702" s="20"/>
      <c r="R702" s="20"/>
    </row>
    <row r="703" spans="4:18" ht="12.75" x14ac:dyDescent="0.2">
      <c r="D703" s="20"/>
      <c r="J703" s="20"/>
      <c r="P703" s="20"/>
      <c r="R703" s="20"/>
    </row>
    <row r="704" spans="4:18" ht="12.75" x14ac:dyDescent="0.2">
      <c r="D704" s="20"/>
      <c r="J704" s="20"/>
      <c r="P704" s="20"/>
      <c r="R704" s="20"/>
    </row>
    <row r="705" spans="4:18" ht="12.75" x14ac:dyDescent="0.2">
      <c r="D705" s="20"/>
      <c r="J705" s="20"/>
      <c r="P705" s="20"/>
      <c r="R705" s="20"/>
    </row>
    <row r="706" spans="4:18" ht="12.75" x14ac:dyDescent="0.2">
      <c r="D706" s="20"/>
      <c r="J706" s="20"/>
      <c r="P706" s="20"/>
      <c r="R706" s="20"/>
    </row>
    <row r="707" spans="4:18" ht="12.75" x14ac:dyDescent="0.2">
      <c r="D707" s="20"/>
      <c r="J707" s="20"/>
      <c r="P707" s="20"/>
      <c r="R707" s="20"/>
    </row>
    <row r="708" spans="4:18" ht="12.75" x14ac:dyDescent="0.2">
      <c r="D708" s="20"/>
      <c r="J708" s="20"/>
      <c r="P708" s="20"/>
      <c r="R708" s="20"/>
    </row>
    <row r="709" spans="4:18" ht="12.75" x14ac:dyDescent="0.2">
      <c r="D709" s="20"/>
      <c r="J709" s="20"/>
      <c r="P709" s="20"/>
      <c r="R709" s="20"/>
    </row>
    <row r="710" spans="4:18" ht="12.75" x14ac:dyDescent="0.2">
      <c r="D710" s="20"/>
      <c r="J710" s="20"/>
      <c r="P710" s="20"/>
      <c r="R710" s="20"/>
    </row>
    <row r="711" spans="4:18" ht="12.75" x14ac:dyDescent="0.2">
      <c r="D711" s="20"/>
      <c r="J711" s="20"/>
      <c r="P711" s="20"/>
      <c r="R711" s="20"/>
    </row>
    <row r="712" spans="4:18" ht="12.75" x14ac:dyDescent="0.2">
      <c r="D712" s="20"/>
      <c r="J712" s="20"/>
      <c r="P712" s="20"/>
      <c r="R712" s="20"/>
    </row>
    <row r="713" spans="4:18" ht="12.75" x14ac:dyDescent="0.2">
      <c r="D713" s="20"/>
      <c r="J713" s="20"/>
      <c r="P713" s="20"/>
      <c r="R713" s="20"/>
    </row>
    <row r="714" spans="4:18" ht="12.75" x14ac:dyDescent="0.2">
      <c r="D714" s="20"/>
      <c r="J714" s="20"/>
      <c r="P714" s="20"/>
      <c r="R714" s="20"/>
    </row>
    <row r="715" spans="4:18" ht="12.75" x14ac:dyDescent="0.2">
      <c r="D715" s="20"/>
      <c r="J715" s="20"/>
      <c r="P715" s="20"/>
      <c r="R715" s="20"/>
    </row>
    <row r="716" spans="4:18" ht="12.75" x14ac:dyDescent="0.2">
      <c r="D716" s="20"/>
      <c r="J716" s="20"/>
      <c r="P716" s="20"/>
      <c r="R716" s="20"/>
    </row>
    <row r="717" spans="4:18" ht="12.75" x14ac:dyDescent="0.2">
      <c r="D717" s="20"/>
      <c r="J717" s="20"/>
      <c r="P717" s="20"/>
      <c r="R717" s="20"/>
    </row>
    <row r="718" spans="4:18" ht="12.75" x14ac:dyDescent="0.2">
      <c r="D718" s="20"/>
      <c r="J718" s="20"/>
      <c r="P718" s="20"/>
      <c r="R718" s="20"/>
    </row>
    <row r="719" spans="4:18" ht="12.75" x14ac:dyDescent="0.2">
      <c r="D719" s="20"/>
      <c r="J719" s="20"/>
      <c r="P719" s="20"/>
      <c r="R719" s="20"/>
    </row>
    <row r="720" spans="4:18" ht="12.75" x14ac:dyDescent="0.2">
      <c r="D720" s="20"/>
      <c r="J720" s="20"/>
      <c r="P720" s="20"/>
      <c r="R720" s="20"/>
    </row>
    <row r="721" spans="4:18" ht="12.75" x14ac:dyDescent="0.2">
      <c r="D721" s="20"/>
      <c r="J721" s="20"/>
      <c r="P721" s="20"/>
      <c r="R721" s="20"/>
    </row>
    <row r="722" spans="4:18" ht="12.75" x14ac:dyDescent="0.2">
      <c r="D722" s="20"/>
      <c r="J722" s="20"/>
      <c r="P722" s="20"/>
      <c r="R722" s="20"/>
    </row>
    <row r="723" spans="4:18" ht="12.75" x14ac:dyDescent="0.2">
      <c r="D723" s="20"/>
      <c r="J723" s="20"/>
      <c r="P723" s="20"/>
      <c r="R723" s="20"/>
    </row>
    <row r="724" spans="4:18" ht="12.75" x14ac:dyDescent="0.2">
      <c r="D724" s="20"/>
      <c r="J724" s="20"/>
      <c r="P724" s="20"/>
      <c r="R724" s="20"/>
    </row>
    <row r="725" spans="4:18" ht="12.75" x14ac:dyDescent="0.2">
      <c r="D725" s="20"/>
      <c r="J725" s="20"/>
      <c r="P725" s="20"/>
      <c r="R725" s="20"/>
    </row>
    <row r="726" spans="4:18" ht="12.75" x14ac:dyDescent="0.2">
      <c r="D726" s="20"/>
      <c r="J726" s="20"/>
      <c r="P726" s="20"/>
      <c r="R726" s="20"/>
    </row>
    <row r="727" spans="4:18" ht="12.75" x14ac:dyDescent="0.2">
      <c r="D727" s="20"/>
      <c r="J727" s="20"/>
      <c r="P727" s="20"/>
      <c r="R727" s="20"/>
    </row>
    <row r="728" spans="4:18" ht="12.75" x14ac:dyDescent="0.2">
      <c r="D728" s="20"/>
      <c r="J728" s="20"/>
      <c r="P728" s="20"/>
      <c r="R728" s="20"/>
    </row>
    <row r="729" spans="4:18" ht="12.75" x14ac:dyDescent="0.2">
      <c r="D729" s="20"/>
      <c r="J729" s="20"/>
      <c r="P729" s="20"/>
      <c r="R729" s="20"/>
    </row>
    <row r="730" spans="4:18" ht="12.75" x14ac:dyDescent="0.2">
      <c r="D730" s="20"/>
      <c r="J730" s="20"/>
      <c r="P730" s="20"/>
      <c r="R730" s="20"/>
    </row>
    <row r="731" spans="4:18" ht="12.75" x14ac:dyDescent="0.2">
      <c r="D731" s="20"/>
      <c r="J731" s="20"/>
      <c r="P731" s="20"/>
      <c r="R731" s="20"/>
    </row>
    <row r="732" spans="4:18" ht="12.75" x14ac:dyDescent="0.2">
      <c r="D732" s="20"/>
      <c r="J732" s="20"/>
      <c r="P732" s="20"/>
      <c r="R732" s="20"/>
    </row>
    <row r="733" spans="4:18" ht="12.75" x14ac:dyDescent="0.2">
      <c r="D733" s="20"/>
      <c r="J733" s="20"/>
      <c r="P733" s="20"/>
      <c r="R733" s="20"/>
    </row>
    <row r="734" spans="4:18" ht="12.75" x14ac:dyDescent="0.2">
      <c r="D734" s="20"/>
      <c r="J734" s="20"/>
      <c r="P734" s="20"/>
      <c r="R734" s="20"/>
    </row>
    <row r="735" spans="4:18" ht="12.75" x14ac:dyDescent="0.2">
      <c r="D735" s="20"/>
      <c r="J735" s="20"/>
      <c r="P735" s="20"/>
      <c r="R735" s="20"/>
    </row>
    <row r="736" spans="4:18" ht="12.75" x14ac:dyDescent="0.2">
      <c r="D736" s="20"/>
      <c r="J736" s="20"/>
      <c r="P736" s="20"/>
      <c r="R736" s="20"/>
    </row>
    <row r="737" spans="4:18" ht="12.75" x14ac:dyDescent="0.2">
      <c r="D737" s="20"/>
      <c r="J737" s="20"/>
      <c r="P737" s="20"/>
      <c r="R737" s="20"/>
    </row>
    <row r="738" spans="4:18" ht="12.75" x14ac:dyDescent="0.2">
      <c r="D738" s="20"/>
      <c r="J738" s="20"/>
      <c r="P738" s="20"/>
      <c r="R738" s="20"/>
    </row>
    <row r="739" spans="4:18" ht="12.75" x14ac:dyDescent="0.2">
      <c r="D739" s="20"/>
      <c r="J739" s="20"/>
      <c r="P739" s="20"/>
      <c r="R739" s="20"/>
    </row>
    <row r="740" spans="4:18" ht="12.75" x14ac:dyDescent="0.2">
      <c r="D740" s="20"/>
      <c r="J740" s="20"/>
      <c r="P740" s="20"/>
      <c r="R740" s="20"/>
    </row>
    <row r="741" spans="4:18" ht="12.75" x14ac:dyDescent="0.2">
      <c r="D741" s="20"/>
      <c r="J741" s="20"/>
      <c r="P741" s="20"/>
      <c r="R741" s="20"/>
    </row>
    <row r="742" spans="4:18" ht="12.75" x14ac:dyDescent="0.2">
      <c r="D742" s="20"/>
      <c r="J742" s="20"/>
      <c r="P742" s="20"/>
      <c r="R742" s="20"/>
    </row>
    <row r="743" spans="4:18" ht="12.75" x14ac:dyDescent="0.2">
      <c r="D743" s="20"/>
      <c r="J743" s="20"/>
      <c r="P743" s="20"/>
      <c r="R743" s="20"/>
    </row>
    <row r="744" spans="4:18" ht="12.75" x14ac:dyDescent="0.2">
      <c r="D744" s="20"/>
      <c r="J744" s="20"/>
      <c r="P744" s="20"/>
      <c r="R744" s="20"/>
    </row>
    <row r="745" spans="4:18" ht="12.75" x14ac:dyDescent="0.2">
      <c r="D745" s="20"/>
      <c r="J745" s="20"/>
      <c r="P745" s="20"/>
      <c r="R745" s="20"/>
    </row>
    <row r="746" spans="4:18" ht="12.75" x14ac:dyDescent="0.2">
      <c r="D746" s="20"/>
      <c r="J746" s="20"/>
      <c r="P746" s="20"/>
      <c r="R746" s="20"/>
    </row>
    <row r="747" spans="4:18" ht="12.75" x14ac:dyDescent="0.2">
      <c r="D747" s="20"/>
      <c r="J747" s="20"/>
      <c r="P747" s="20"/>
      <c r="R747" s="20"/>
    </row>
    <row r="748" spans="4:18" ht="12.75" x14ac:dyDescent="0.2">
      <c r="D748" s="20"/>
      <c r="J748" s="20"/>
      <c r="P748" s="20"/>
      <c r="R748" s="20"/>
    </row>
    <row r="749" spans="4:18" ht="12.75" x14ac:dyDescent="0.2">
      <c r="D749" s="20"/>
      <c r="J749" s="20"/>
      <c r="P749" s="20"/>
      <c r="R749" s="20"/>
    </row>
    <row r="750" spans="4:18" ht="12.75" x14ac:dyDescent="0.2">
      <c r="D750" s="20"/>
      <c r="J750" s="20"/>
      <c r="P750" s="20"/>
      <c r="R750" s="20"/>
    </row>
    <row r="751" spans="4:18" ht="12.75" x14ac:dyDescent="0.2">
      <c r="D751" s="20"/>
      <c r="J751" s="20"/>
      <c r="P751" s="20"/>
      <c r="R751" s="20"/>
    </row>
    <row r="752" spans="4:18" ht="12.75" x14ac:dyDescent="0.2">
      <c r="D752" s="20"/>
      <c r="J752" s="20"/>
      <c r="P752" s="20"/>
      <c r="R752" s="20"/>
    </row>
    <row r="753" spans="4:18" ht="12.75" x14ac:dyDescent="0.2">
      <c r="D753" s="20"/>
      <c r="J753" s="20"/>
      <c r="P753" s="20"/>
      <c r="R753" s="20"/>
    </row>
    <row r="754" spans="4:18" ht="12.75" x14ac:dyDescent="0.2">
      <c r="D754" s="20"/>
      <c r="J754" s="20"/>
      <c r="P754" s="20"/>
      <c r="R754" s="20"/>
    </row>
    <row r="755" spans="4:18" ht="12.75" x14ac:dyDescent="0.2">
      <c r="D755" s="20"/>
      <c r="J755" s="20"/>
      <c r="P755" s="20"/>
      <c r="R755" s="20"/>
    </row>
    <row r="756" spans="4:18" ht="12.75" x14ac:dyDescent="0.2">
      <c r="D756" s="20"/>
      <c r="J756" s="20"/>
      <c r="P756" s="20"/>
      <c r="R756" s="20"/>
    </row>
    <row r="757" spans="4:18" ht="12.75" x14ac:dyDescent="0.2">
      <c r="D757" s="20"/>
      <c r="J757" s="20"/>
      <c r="P757" s="20"/>
      <c r="R757" s="20"/>
    </row>
    <row r="758" spans="4:18" ht="12.75" x14ac:dyDescent="0.2">
      <c r="D758" s="20"/>
      <c r="J758" s="20"/>
      <c r="P758" s="20"/>
      <c r="R758" s="20"/>
    </row>
    <row r="759" spans="4:18" ht="12.75" x14ac:dyDescent="0.2">
      <c r="D759" s="20"/>
      <c r="J759" s="20"/>
      <c r="P759" s="20"/>
      <c r="R759" s="20"/>
    </row>
    <row r="760" spans="4:18" ht="12.75" x14ac:dyDescent="0.2">
      <c r="D760" s="20"/>
      <c r="J760" s="20"/>
      <c r="P760" s="20"/>
      <c r="R760" s="20"/>
    </row>
    <row r="761" spans="4:18" ht="12.75" x14ac:dyDescent="0.2">
      <c r="D761" s="20"/>
      <c r="J761" s="20"/>
      <c r="P761" s="20"/>
      <c r="R761" s="20"/>
    </row>
    <row r="762" spans="4:18" ht="12.75" x14ac:dyDescent="0.2">
      <c r="D762" s="20"/>
      <c r="J762" s="20"/>
      <c r="P762" s="20"/>
      <c r="R762" s="20"/>
    </row>
    <row r="763" spans="4:18" ht="12.75" x14ac:dyDescent="0.2">
      <c r="D763" s="20"/>
      <c r="J763" s="20"/>
      <c r="P763" s="20"/>
      <c r="R763" s="20"/>
    </row>
    <row r="764" spans="4:18" ht="12.75" x14ac:dyDescent="0.2">
      <c r="D764" s="20"/>
      <c r="J764" s="20"/>
      <c r="P764" s="20"/>
      <c r="R764" s="20"/>
    </row>
    <row r="765" spans="4:18" ht="12.75" x14ac:dyDescent="0.2">
      <c r="D765" s="20"/>
      <c r="J765" s="20"/>
      <c r="P765" s="20"/>
      <c r="R765" s="20"/>
    </row>
    <row r="766" spans="4:18" ht="12.75" x14ac:dyDescent="0.2">
      <c r="D766" s="20"/>
      <c r="J766" s="20"/>
      <c r="P766" s="20"/>
      <c r="R766" s="20"/>
    </row>
    <row r="767" spans="4:18" ht="12.75" x14ac:dyDescent="0.2">
      <c r="D767" s="20"/>
      <c r="J767" s="20"/>
      <c r="P767" s="20"/>
      <c r="R767" s="20"/>
    </row>
    <row r="768" spans="4:18" ht="12.75" x14ac:dyDescent="0.2">
      <c r="D768" s="20"/>
      <c r="J768" s="20"/>
      <c r="P768" s="20"/>
      <c r="R768" s="20"/>
    </row>
    <row r="769" spans="4:18" ht="12.75" x14ac:dyDescent="0.2">
      <c r="D769" s="20"/>
      <c r="J769" s="20"/>
      <c r="P769" s="20"/>
      <c r="R769" s="20"/>
    </row>
    <row r="770" spans="4:18" ht="12.75" x14ac:dyDescent="0.2">
      <c r="D770" s="20"/>
      <c r="J770" s="20"/>
      <c r="P770" s="20"/>
      <c r="R770" s="20"/>
    </row>
    <row r="771" spans="4:18" ht="12.75" x14ac:dyDescent="0.2">
      <c r="D771" s="20"/>
      <c r="J771" s="20"/>
      <c r="P771" s="20"/>
      <c r="R771" s="20"/>
    </row>
    <row r="772" spans="4:18" ht="12.75" x14ac:dyDescent="0.2">
      <c r="D772" s="20"/>
      <c r="J772" s="20"/>
      <c r="P772" s="20"/>
      <c r="R772" s="20"/>
    </row>
    <row r="773" spans="4:18" ht="12.75" x14ac:dyDescent="0.2">
      <c r="D773" s="20"/>
      <c r="J773" s="20"/>
      <c r="P773" s="20"/>
      <c r="R773" s="20"/>
    </row>
    <row r="774" spans="4:18" ht="12.75" x14ac:dyDescent="0.2">
      <c r="D774" s="20"/>
      <c r="J774" s="20"/>
      <c r="P774" s="20"/>
      <c r="R774" s="20"/>
    </row>
    <row r="775" spans="4:18" ht="12.75" x14ac:dyDescent="0.2">
      <c r="D775" s="20"/>
      <c r="J775" s="20"/>
      <c r="P775" s="20"/>
      <c r="R775" s="20"/>
    </row>
    <row r="776" spans="4:18" ht="12.75" x14ac:dyDescent="0.2">
      <c r="D776" s="20"/>
      <c r="J776" s="20"/>
      <c r="P776" s="20"/>
      <c r="R776" s="20"/>
    </row>
    <row r="777" spans="4:18" ht="12.75" x14ac:dyDescent="0.2">
      <c r="D777" s="20"/>
      <c r="J777" s="20"/>
      <c r="P777" s="20"/>
      <c r="R777" s="20"/>
    </row>
    <row r="778" spans="4:18" ht="12.75" x14ac:dyDescent="0.2">
      <c r="D778" s="20"/>
      <c r="J778" s="20"/>
      <c r="P778" s="20"/>
      <c r="R778" s="20"/>
    </row>
    <row r="779" spans="4:18" ht="12.75" x14ac:dyDescent="0.2">
      <c r="D779" s="20"/>
      <c r="J779" s="20"/>
      <c r="P779" s="20"/>
      <c r="R779" s="20"/>
    </row>
    <row r="780" spans="4:18" ht="12.75" x14ac:dyDescent="0.2">
      <c r="D780" s="20"/>
      <c r="J780" s="20"/>
      <c r="P780" s="20"/>
      <c r="R780" s="20"/>
    </row>
    <row r="781" spans="4:18" ht="12.75" x14ac:dyDescent="0.2">
      <c r="D781" s="20"/>
      <c r="J781" s="20"/>
      <c r="P781" s="20"/>
      <c r="R781" s="20"/>
    </row>
    <row r="782" spans="4:18" ht="12.75" x14ac:dyDescent="0.2">
      <c r="D782" s="20"/>
      <c r="J782" s="20"/>
      <c r="P782" s="20"/>
      <c r="R782" s="20"/>
    </row>
    <row r="783" spans="4:18" ht="12.75" x14ac:dyDescent="0.2">
      <c r="D783" s="20"/>
      <c r="J783" s="20"/>
      <c r="P783" s="20"/>
      <c r="R783" s="20"/>
    </row>
    <row r="784" spans="4:18" ht="12.75" x14ac:dyDescent="0.2">
      <c r="D784" s="20"/>
      <c r="J784" s="20"/>
      <c r="P784" s="20"/>
      <c r="R784" s="20"/>
    </row>
    <row r="785" spans="4:18" ht="12.75" x14ac:dyDescent="0.2">
      <c r="D785" s="20"/>
      <c r="J785" s="20"/>
      <c r="P785" s="20"/>
      <c r="R785" s="20"/>
    </row>
    <row r="786" spans="4:18" ht="12.75" x14ac:dyDescent="0.2">
      <c r="D786" s="20"/>
      <c r="J786" s="20"/>
      <c r="P786" s="20"/>
      <c r="R786" s="20"/>
    </row>
    <row r="787" spans="4:18" ht="12.75" x14ac:dyDescent="0.2">
      <c r="D787" s="20"/>
      <c r="J787" s="20"/>
      <c r="P787" s="20"/>
      <c r="R787" s="20"/>
    </row>
    <row r="788" spans="4:18" ht="12.75" x14ac:dyDescent="0.2">
      <c r="D788" s="20"/>
      <c r="J788" s="20"/>
      <c r="P788" s="20"/>
      <c r="R788" s="20"/>
    </row>
    <row r="789" spans="4:18" ht="12.75" x14ac:dyDescent="0.2">
      <c r="D789" s="20"/>
      <c r="J789" s="20"/>
      <c r="P789" s="20"/>
      <c r="R789" s="20"/>
    </row>
    <row r="790" spans="4:18" ht="12.75" x14ac:dyDescent="0.2">
      <c r="D790" s="20"/>
      <c r="J790" s="20"/>
      <c r="P790" s="20"/>
      <c r="R790" s="20"/>
    </row>
    <row r="791" spans="4:18" ht="12.75" x14ac:dyDescent="0.2">
      <c r="D791" s="20"/>
      <c r="J791" s="20"/>
      <c r="P791" s="20"/>
      <c r="R791" s="20"/>
    </row>
    <row r="792" spans="4:18" ht="12.75" x14ac:dyDescent="0.2">
      <c r="D792" s="20"/>
      <c r="J792" s="20"/>
      <c r="P792" s="20"/>
      <c r="R792" s="20"/>
    </row>
    <row r="793" spans="4:18" ht="12.75" x14ac:dyDescent="0.2">
      <c r="D793" s="20"/>
      <c r="J793" s="20"/>
      <c r="P793" s="20"/>
      <c r="R793" s="20"/>
    </row>
    <row r="794" spans="4:18" ht="12.75" x14ac:dyDescent="0.2">
      <c r="D794" s="20"/>
      <c r="J794" s="20"/>
      <c r="P794" s="20"/>
      <c r="R794" s="20"/>
    </row>
    <row r="795" spans="4:18" ht="12.75" x14ac:dyDescent="0.2">
      <c r="D795" s="20"/>
      <c r="J795" s="20"/>
      <c r="P795" s="20"/>
      <c r="R795" s="20"/>
    </row>
    <row r="796" spans="4:18" ht="12.75" x14ac:dyDescent="0.2">
      <c r="D796" s="20"/>
      <c r="J796" s="20"/>
      <c r="P796" s="20"/>
      <c r="R796" s="20"/>
    </row>
    <row r="797" spans="4:18" ht="12.75" x14ac:dyDescent="0.2">
      <c r="D797" s="20"/>
      <c r="J797" s="20"/>
      <c r="P797" s="20"/>
      <c r="R797" s="20"/>
    </row>
    <row r="798" spans="4:18" ht="12.75" x14ac:dyDescent="0.2">
      <c r="D798" s="20"/>
      <c r="J798" s="20"/>
      <c r="P798" s="20"/>
      <c r="R798" s="20"/>
    </row>
    <row r="799" spans="4:18" ht="12.75" x14ac:dyDescent="0.2">
      <c r="D799" s="20"/>
      <c r="J799" s="20"/>
      <c r="P799" s="20"/>
      <c r="R799" s="20"/>
    </row>
    <row r="800" spans="4:18" ht="12.75" x14ac:dyDescent="0.2">
      <c r="D800" s="20"/>
      <c r="J800" s="20"/>
      <c r="P800" s="20"/>
      <c r="R800" s="20"/>
    </row>
    <row r="801" spans="4:18" ht="12.75" x14ac:dyDescent="0.2">
      <c r="D801" s="20"/>
      <c r="J801" s="20"/>
      <c r="P801" s="20"/>
      <c r="R801" s="20"/>
    </row>
    <row r="802" spans="4:18" ht="12.75" x14ac:dyDescent="0.2">
      <c r="D802" s="20"/>
      <c r="J802" s="20"/>
      <c r="P802" s="20"/>
      <c r="R802" s="20"/>
    </row>
    <row r="803" spans="4:18" ht="12.75" x14ac:dyDescent="0.2">
      <c r="D803" s="20"/>
      <c r="J803" s="20"/>
      <c r="P803" s="20"/>
      <c r="R803" s="20"/>
    </row>
    <row r="804" spans="4:18" ht="12.75" x14ac:dyDescent="0.2">
      <c r="D804" s="20"/>
      <c r="J804" s="20"/>
      <c r="P804" s="20"/>
      <c r="R804" s="20"/>
    </row>
    <row r="805" spans="4:18" ht="12.75" x14ac:dyDescent="0.2">
      <c r="D805" s="20"/>
      <c r="J805" s="20"/>
      <c r="P805" s="20"/>
      <c r="R805" s="20"/>
    </row>
    <row r="806" spans="4:18" ht="12.75" x14ac:dyDescent="0.2">
      <c r="D806" s="20"/>
      <c r="J806" s="20"/>
      <c r="P806" s="20"/>
      <c r="R806" s="20"/>
    </row>
    <row r="807" spans="4:18" ht="12.75" x14ac:dyDescent="0.2">
      <c r="D807" s="20"/>
      <c r="J807" s="20"/>
      <c r="P807" s="20"/>
      <c r="R807" s="20"/>
    </row>
    <row r="808" spans="4:18" ht="12.75" x14ac:dyDescent="0.2">
      <c r="D808" s="20"/>
      <c r="J808" s="20"/>
      <c r="P808" s="20"/>
      <c r="R808" s="20"/>
    </row>
    <row r="809" spans="4:18" ht="12.75" x14ac:dyDescent="0.2">
      <c r="D809" s="20"/>
      <c r="J809" s="20"/>
      <c r="P809" s="20"/>
      <c r="R809" s="20"/>
    </row>
    <row r="810" spans="4:18" ht="12.75" x14ac:dyDescent="0.2">
      <c r="D810" s="20"/>
      <c r="J810" s="20"/>
      <c r="P810" s="20"/>
      <c r="R810" s="20"/>
    </row>
    <row r="811" spans="4:18" ht="12.75" x14ac:dyDescent="0.2">
      <c r="D811" s="20"/>
      <c r="J811" s="20"/>
      <c r="P811" s="20"/>
      <c r="R811" s="20"/>
    </row>
    <row r="812" spans="4:18" ht="12.75" x14ac:dyDescent="0.2">
      <c r="D812" s="20"/>
      <c r="J812" s="20"/>
      <c r="P812" s="20"/>
      <c r="R812" s="20"/>
    </row>
    <row r="813" spans="4:18" ht="12.75" x14ac:dyDescent="0.2">
      <c r="D813" s="20"/>
      <c r="J813" s="20"/>
      <c r="P813" s="20"/>
      <c r="R813" s="20"/>
    </row>
    <row r="814" spans="4:18" ht="12.75" x14ac:dyDescent="0.2">
      <c r="D814" s="20"/>
      <c r="J814" s="20"/>
      <c r="P814" s="20"/>
      <c r="R814" s="20"/>
    </row>
    <row r="815" spans="4:18" ht="12.75" x14ac:dyDescent="0.2">
      <c r="D815" s="20"/>
      <c r="J815" s="20"/>
      <c r="P815" s="20"/>
      <c r="R815" s="20"/>
    </row>
    <row r="816" spans="4:18" ht="12.75" x14ac:dyDescent="0.2">
      <c r="D816" s="20"/>
      <c r="J816" s="20"/>
      <c r="P816" s="20"/>
      <c r="R816" s="20"/>
    </row>
    <row r="817" spans="4:18" ht="12.75" x14ac:dyDescent="0.2">
      <c r="D817" s="20"/>
      <c r="J817" s="20"/>
      <c r="P817" s="20"/>
      <c r="R817" s="20"/>
    </row>
    <row r="818" spans="4:18" ht="12.75" x14ac:dyDescent="0.2">
      <c r="D818" s="20"/>
      <c r="J818" s="20"/>
      <c r="P818" s="20"/>
      <c r="R818" s="20"/>
    </row>
    <row r="819" spans="4:18" ht="12.75" x14ac:dyDescent="0.2">
      <c r="D819" s="20"/>
      <c r="J819" s="20"/>
      <c r="P819" s="20"/>
      <c r="R819" s="20"/>
    </row>
    <row r="820" spans="4:18" ht="12.75" x14ac:dyDescent="0.2">
      <c r="D820" s="20"/>
      <c r="J820" s="20"/>
      <c r="P820" s="20"/>
      <c r="R820" s="20"/>
    </row>
    <row r="821" spans="4:18" ht="12.75" x14ac:dyDescent="0.2">
      <c r="D821" s="20"/>
      <c r="J821" s="20"/>
      <c r="P821" s="20"/>
      <c r="R821" s="20"/>
    </row>
    <row r="822" spans="4:18" ht="12.75" x14ac:dyDescent="0.2">
      <c r="D822" s="20"/>
      <c r="J822" s="20"/>
      <c r="P822" s="20"/>
      <c r="R822" s="20"/>
    </row>
    <row r="823" spans="4:18" ht="12.75" x14ac:dyDescent="0.2">
      <c r="D823" s="20"/>
      <c r="J823" s="20"/>
      <c r="P823" s="20"/>
      <c r="R823" s="20"/>
    </row>
    <row r="824" spans="4:18" ht="12.75" x14ac:dyDescent="0.2">
      <c r="D824" s="20"/>
      <c r="J824" s="20"/>
      <c r="P824" s="20"/>
      <c r="R824" s="20"/>
    </row>
    <row r="825" spans="4:18" ht="12.75" x14ac:dyDescent="0.2">
      <c r="D825" s="20"/>
      <c r="J825" s="20"/>
      <c r="P825" s="20"/>
      <c r="R825" s="20"/>
    </row>
    <row r="826" spans="4:18" ht="12.75" x14ac:dyDescent="0.2">
      <c r="D826" s="20"/>
      <c r="J826" s="20"/>
      <c r="P826" s="20"/>
      <c r="R826" s="20"/>
    </row>
    <row r="827" spans="4:18" ht="12.75" x14ac:dyDescent="0.2">
      <c r="D827" s="20"/>
      <c r="J827" s="20"/>
      <c r="P827" s="20"/>
      <c r="R827" s="20"/>
    </row>
    <row r="828" spans="4:18" ht="12.75" x14ac:dyDescent="0.2">
      <c r="D828" s="20"/>
      <c r="J828" s="20"/>
      <c r="P828" s="20"/>
      <c r="R828" s="20"/>
    </row>
    <row r="829" spans="4:18" ht="12.75" x14ac:dyDescent="0.2">
      <c r="D829" s="20"/>
      <c r="J829" s="20"/>
      <c r="P829" s="20"/>
      <c r="R829" s="20"/>
    </row>
    <row r="830" spans="4:18" ht="12.75" x14ac:dyDescent="0.2">
      <c r="D830" s="20"/>
      <c r="J830" s="20"/>
      <c r="P830" s="20"/>
      <c r="R830" s="20"/>
    </row>
    <row r="831" spans="4:18" ht="12.75" x14ac:dyDescent="0.2">
      <c r="D831" s="20"/>
      <c r="J831" s="20"/>
      <c r="P831" s="20"/>
      <c r="R831" s="20"/>
    </row>
    <row r="832" spans="4:18" ht="12.75" x14ac:dyDescent="0.2">
      <c r="D832" s="20"/>
      <c r="J832" s="20"/>
      <c r="P832" s="20"/>
      <c r="R832" s="20"/>
    </row>
    <row r="833" spans="4:18" ht="12.75" x14ac:dyDescent="0.2">
      <c r="D833" s="20"/>
      <c r="J833" s="20"/>
      <c r="P833" s="20"/>
      <c r="R833" s="20"/>
    </row>
    <row r="834" spans="4:18" ht="12.75" x14ac:dyDescent="0.2">
      <c r="D834" s="20"/>
      <c r="J834" s="20"/>
      <c r="P834" s="20"/>
      <c r="R834" s="20"/>
    </row>
    <row r="835" spans="4:18" ht="12.75" x14ac:dyDescent="0.2">
      <c r="D835" s="20"/>
      <c r="J835" s="20"/>
      <c r="P835" s="20"/>
      <c r="R835" s="20"/>
    </row>
    <row r="836" spans="4:18" ht="12.75" x14ac:dyDescent="0.2">
      <c r="D836" s="20"/>
      <c r="J836" s="20"/>
      <c r="P836" s="20"/>
      <c r="R836" s="20"/>
    </row>
    <row r="837" spans="4:18" ht="12.75" x14ac:dyDescent="0.2">
      <c r="D837" s="20"/>
      <c r="J837" s="20"/>
      <c r="P837" s="20"/>
      <c r="R837" s="20"/>
    </row>
    <row r="838" spans="4:18" ht="12.75" x14ac:dyDescent="0.2">
      <c r="D838" s="20"/>
      <c r="J838" s="20"/>
      <c r="P838" s="20"/>
      <c r="R838" s="20"/>
    </row>
    <row r="839" spans="4:18" ht="12.75" x14ac:dyDescent="0.2">
      <c r="D839" s="20"/>
      <c r="J839" s="20"/>
      <c r="P839" s="20"/>
      <c r="R839" s="20"/>
    </row>
    <row r="840" spans="4:18" ht="12.75" x14ac:dyDescent="0.2">
      <c r="D840" s="20"/>
      <c r="J840" s="20"/>
      <c r="P840" s="20"/>
      <c r="R840" s="20"/>
    </row>
    <row r="841" spans="4:18" ht="12.75" x14ac:dyDescent="0.2">
      <c r="D841" s="20"/>
      <c r="J841" s="20"/>
      <c r="P841" s="20"/>
      <c r="R841" s="20"/>
    </row>
    <row r="842" spans="4:18" ht="12.75" x14ac:dyDescent="0.2">
      <c r="D842" s="20"/>
      <c r="J842" s="20"/>
      <c r="P842" s="20"/>
      <c r="R842" s="20"/>
    </row>
    <row r="843" spans="4:18" ht="12.75" x14ac:dyDescent="0.2">
      <c r="D843" s="20"/>
      <c r="J843" s="20"/>
      <c r="P843" s="20"/>
      <c r="R843" s="20"/>
    </row>
    <row r="844" spans="4:18" ht="12.75" x14ac:dyDescent="0.2">
      <c r="D844" s="20"/>
      <c r="J844" s="20"/>
      <c r="P844" s="20"/>
      <c r="R844" s="20"/>
    </row>
    <row r="845" spans="4:18" ht="12.75" x14ac:dyDescent="0.2">
      <c r="D845" s="20"/>
      <c r="J845" s="20"/>
      <c r="P845" s="20"/>
      <c r="R845" s="20"/>
    </row>
    <row r="846" spans="4:18" ht="12.75" x14ac:dyDescent="0.2">
      <c r="D846" s="20"/>
      <c r="J846" s="20"/>
      <c r="P846" s="20"/>
      <c r="R846" s="20"/>
    </row>
    <row r="847" spans="4:18" ht="12.75" x14ac:dyDescent="0.2">
      <c r="D847" s="20"/>
      <c r="J847" s="20"/>
      <c r="P847" s="20"/>
      <c r="R847" s="20"/>
    </row>
    <row r="848" spans="4:18" ht="12.75" x14ac:dyDescent="0.2">
      <c r="D848" s="20"/>
      <c r="J848" s="20"/>
      <c r="P848" s="20"/>
      <c r="R848" s="20"/>
    </row>
    <row r="849" spans="4:18" ht="12.75" x14ac:dyDescent="0.2">
      <c r="D849" s="20"/>
      <c r="J849" s="20"/>
      <c r="P849" s="20"/>
      <c r="R849" s="20"/>
    </row>
    <row r="850" spans="4:18" ht="12.75" x14ac:dyDescent="0.2">
      <c r="D850" s="20"/>
      <c r="J850" s="20"/>
      <c r="P850" s="20"/>
      <c r="R850" s="20"/>
    </row>
    <row r="851" spans="4:18" ht="12.75" x14ac:dyDescent="0.2">
      <c r="D851" s="20"/>
      <c r="J851" s="20"/>
      <c r="P851" s="20"/>
      <c r="R851" s="20"/>
    </row>
    <row r="852" spans="4:18" ht="12.75" x14ac:dyDescent="0.2">
      <c r="D852" s="20"/>
      <c r="J852" s="20"/>
      <c r="P852" s="20"/>
      <c r="R852" s="20"/>
    </row>
    <row r="853" spans="4:18" ht="12.75" x14ac:dyDescent="0.2">
      <c r="D853" s="20"/>
      <c r="J853" s="20"/>
      <c r="P853" s="20"/>
      <c r="R853" s="20"/>
    </row>
    <row r="854" spans="4:18" ht="12.75" x14ac:dyDescent="0.2">
      <c r="D854" s="20"/>
      <c r="J854" s="20"/>
      <c r="P854" s="20"/>
      <c r="R854" s="20"/>
    </row>
    <row r="855" spans="4:18" ht="12.75" x14ac:dyDescent="0.2">
      <c r="D855" s="20"/>
      <c r="J855" s="20"/>
      <c r="P855" s="20"/>
      <c r="R855" s="20"/>
    </row>
    <row r="856" spans="4:18" ht="12.75" x14ac:dyDescent="0.2">
      <c r="D856" s="20"/>
      <c r="J856" s="20"/>
      <c r="P856" s="20"/>
      <c r="R856" s="20"/>
    </row>
    <row r="857" spans="4:18" ht="12.75" x14ac:dyDescent="0.2">
      <c r="D857" s="20"/>
      <c r="J857" s="20"/>
      <c r="P857" s="20"/>
      <c r="R857" s="20"/>
    </row>
    <row r="858" spans="4:18" ht="12.75" x14ac:dyDescent="0.2">
      <c r="D858" s="20"/>
      <c r="J858" s="20"/>
      <c r="P858" s="20"/>
      <c r="R858" s="20"/>
    </row>
    <row r="859" spans="4:18" ht="12.75" x14ac:dyDescent="0.2">
      <c r="D859" s="20"/>
      <c r="J859" s="20"/>
      <c r="P859" s="20"/>
      <c r="R859" s="20"/>
    </row>
    <row r="860" spans="4:18" ht="12.75" x14ac:dyDescent="0.2">
      <c r="D860" s="20"/>
      <c r="J860" s="20"/>
      <c r="P860" s="20"/>
      <c r="R860" s="20"/>
    </row>
    <row r="861" spans="4:18" ht="12.75" x14ac:dyDescent="0.2">
      <c r="D861" s="20"/>
      <c r="J861" s="20"/>
      <c r="P861" s="20"/>
      <c r="R861" s="20"/>
    </row>
    <row r="862" spans="4:18" ht="12.75" x14ac:dyDescent="0.2">
      <c r="D862" s="20"/>
      <c r="J862" s="20"/>
      <c r="P862" s="20"/>
      <c r="R862" s="20"/>
    </row>
    <row r="863" spans="4:18" ht="12.75" x14ac:dyDescent="0.2">
      <c r="D863" s="20"/>
      <c r="J863" s="20"/>
      <c r="P863" s="20"/>
      <c r="R863" s="20"/>
    </row>
    <row r="864" spans="4:18" ht="12.75" x14ac:dyDescent="0.2">
      <c r="D864" s="20"/>
      <c r="J864" s="20"/>
      <c r="P864" s="20"/>
      <c r="R864" s="20"/>
    </row>
    <row r="865" spans="4:18" ht="12.75" x14ac:dyDescent="0.2">
      <c r="D865" s="20"/>
      <c r="J865" s="20"/>
      <c r="P865" s="20"/>
      <c r="R865" s="20"/>
    </row>
    <row r="866" spans="4:18" ht="12.75" x14ac:dyDescent="0.2">
      <c r="D866" s="20"/>
      <c r="J866" s="20"/>
      <c r="P866" s="20"/>
      <c r="R866" s="20"/>
    </row>
    <row r="867" spans="4:18" ht="12.75" x14ac:dyDescent="0.2">
      <c r="D867" s="20"/>
      <c r="J867" s="20"/>
      <c r="P867" s="20"/>
      <c r="R867" s="20"/>
    </row>
    <row r="868" spans="4:18" ht="12.75" x14ac:dyDescent="0.2">
      <c r="D868" s="20"/>
      <c r="J868" s="20"/>
      <c r="P868" s="20"/>
      <c r="R868" s="20"/>
    </row>
    <row r="869" spans="4:18" ht="12.75" x14ac:dyDescent="0.2">
      <c r="D869" s="20"/>
      <c r="J869" s="20"/>
      <c r="P869" s="20"/>
      <c r="R869" s="20"/>
    </row>
    <row r="870" spans="4:18" ht="12.75" x14ac:dyDescent="0.2">
      <c r="D870" s="20"/>
      <c r="J870" s="20"/>
      <c r="P870" s="20"/>
      <c r="R870" s="20"/>
    </row>
    <row r="871" spans="4:18" ht="12.75" x14ac:dyDescent="0.2">
      <c r="D871" s="20"/>
      <c r="J871" s="20"/>
      <c r="P871" s="20"/>
      <c r="R871" s="20"/>
    </row>
    <row r="872" spans="4:18" ht="12.75" x14ac:dyDescent="0.2">
      <c r="D872" s="20"/>
      <c r="J872" s="20"/>
      <c r="P872" s="20"/>
      <c r="R872" s="20"/>
    </row>
    <row r="873" spans="4:18" ht="12.75" x14ac:dyDescent="0.2">
      <c r="D873" s="20"/>
      <c r="J873" s="20"/>
      <c r="P873" s="20"/>
      <c r="R873" s="20"/>
    </row>
    <row r="874" spans="4:18" ht="12.75" x14ac:dyDescent="0.2">
      <c r="D874" s="20"/>
      <c r="J874" s="20"/>
      <c r="P874" s="20"/>
      <c r="R874" s="20"/>
    </row>
    <row r="875" spans="4:18" ht="12.75" x14ac:dyDescent="0.2">
      <c r="D875" s="20"/>
      <c r="J875" s="20"/>
      <c r="P875" s="20"/>
      <c r="R875" s="20"/>
    </row>
    <row r="876" spans="4:18" ht="12.75" x14ac:dyDescent="0.2">
      <c r="D876" s="20"/>
      <c r="J876" s="20"/>
      <c r="P876" s="20"/>
      <c r="R876" s="20"/>
    </row>
    <row r="877" spans="4:18" ht="12.75" x14ac:dyDescent="0.2">
      <c r="D877" s="20"/>
      <c r="J877" s="20"/>
      <c r="P877" s="20"/>
      <c r="R877" s="20"/>
    </row>
    <row r="878" spans="4:18" ht="12.75" x14ac:dyDescent="0.2">
      <c r="D878" s="20"/>
      <c r="J878" s="20"/>
      <c r="P878" s="20"/>
      <c r="R878" s="20"/>
    </row>
    <row r="879" spans="4:18" ht="12.75" x14ac:dyDescent="0.2">
      <c r="D879" s="20"/>
      <c r="J879" s="20"/>
      <c r="P879" s="20"/>
      <c r="R879" s="20"/>
    </row>
    <row r="880" spans="4:18" ht="12.75" x14ac:dyDescent="0.2">
      <c r="D880" s="20"/>
      <c r="J880" s="20"/>
      <c r="P880" s="20"/>
      <c r="R880" s="20"/>
    </row>
    <row r="881" spans="4:18" ht="12.75" x14ac:dyDescent="0.2">
      <c r="D881" s="20"/>
      <c r="J881" s="20"/>
      <c r="P881" s="20"/>
      <c r="R881" s="20"/>
    </row>
    <row r="882" spans="4:18" ht="12.75" x14ac:dyDescent="0.2">
      <c r="D882" s="20"/>
      <c r="J882" s="20"/>
      <c r="P882" s="20"/>
      <c r="R882" s="20"/>
    </row>
    <row r="883" spans="4:18" ht="12.75" x14ac:dyDescent="0.2">
      <c r="D883" s="20"/>
      <c r="J883" s="20"/>
      <c r="P883" s="20"/>
      <c r="R883" s="20"/>
    </row>
    <row r="884" spans="4:18" ht="12.75" x14ac:dyDescent="0.2">
      <c r="D884" s="20"/>
      <c r="J884" s="20"/>
      <c r="P884" s="20"/>
      <c r="R884" s="20"/>
    </row>
    <row r="885" spans="4:18" ht="12.75" x14ac:dyDescent="0.2">
      <c r="D885" s="20"/>
      <c r="J885" s="20"/>
      <c r="P885" s="20"/>
      <c r="R885" s="20"/>
    </row>
    <row r="886" spans="4:18" ht="12.75" x14ac:dyDescent="0.2">
      <c r="D886" s="20"/>
      <c r="J886" s="20"/>
      <c r="P886" s="20"/>
      <c r="R886" s="20"/>
    </row>
    <row r="887" spans="4:18" ht="12.75" x14ac:dyDescent="0.2">
      <c r="D887" s="20"/>
      <c r="J887" s="20"/>
      <c r="P887" s="20"/>
      <c r="R887" s="20"/>
    </row>
    <row r="888" spans="4:18" ht="12.75" x14ac:dyDescent="0.2">
      <c r="D888" s="20"/>
      <c r="J888" s="20"/>
      <c r="P888" s="20"/>
      <c r="R888" s="20"/>
    </row>
    <row r="889" spans="4:18" ht="12.75" x14ac:dyDescent="0.2">
      <c r="D889" s="20"/>
      <c r="J889" s="20"/>
      <c r="P889" s="20"/>
      <c r="R889" s="20"/>
    </row>
    <row r="890" spans="4:18" ht="12.75" x14ac:dyDescent="0.2">
      <c r="D890" s="20"/>
      <c r="J890" s="20"/>
      <c r="P890" s="20"/>
      <c r="R890" s="20"/>
    </row>
    <row r="891" spans="4:18" ht="12.75" x14ac:dyDescent="0.2">
      <c r="D891" s="20"/>
      <c r="J891" s="20"/>
      <c r="P891" s="20"/>
      <c r="R891" s="20"/>
    </row>
    <row r="892" spans="4:18" ht="12.75" x14ac:dyDescent="0.2">
      <c r="D892" s="20"/>
      <c r="J892" s="20"/>
      <c r="P892" s="20"/>
      <c r="R892" s="20"/>
    </row>
    <row r="893" spans="4:18" ht="12.75" x14ac:dyDescent="0.2">
      <c r="D893" s="20"/>
      <c r="J893" s="20"/>
      <c r="P893" s="20"/>
      <c r="R893" s="20"/>
    </row>
    <row r="894" spans="4:18" ht="12.75" x14ac:dyDescent="0.2">
      <c r="D894" s="20"/>
      <c r="J894" s="20"/>
      <c r="P894" s="20"/>
      <c r="R894" s="20"/>
    </row>
    <row r="895" spans="4:18" ht="12.75" x14ac:dyDescent="0.2">
      <c r="D895" s="20"/>
      <c r="J895" s="20"/>
      <c r="P895" s="20"/>
      <c r="R895" s="20"/>
    </row>
    <row r="896" spans="4:18" ht="12.75" x14ac:dyDescent="0.2">
      <c r="D896" s="20"/>
      <c r="J896" s="20"/>
      <c r="P896" s="20"/>
      <c r="R896" s="20"/>
    </row>
    <row r="897" spans="4:18" ht="12.75" x14ac:dyDescent="0.2">
      <c r="D897" s="20"/>
      <c r="J897" s="20"/>
      <c r="P897" s="20"/>
      <c r="R897" s="20"/>
    </row>
    <row r="898" spans="4:18" ht="12.75" x14ac:dyDescent="0.2">
      <c r="D898" s="20"/>
      <c r="J898" s="20"/>
      <c r="P898" s="20"/>
      <c r="R898" s="20"/>
    </row>
    <row r="899" spans="4:18" ht="12.75" x14ac:dyDescent="0.2">
      <c r="D899" s="20"/>
      <c r="J899" s="20"/>
      <c r="P899" s="20"/>
      <c r="R899" s="20"/>
    </row>
    <row r="900" spans="4:18" ht="12.75" x14ac:dyDescent="0.2">
      <c r="D900" s="20"/>
      <c r="J900" s="20"/>
      <c r="P900" s="20"/>
      <c r="R900" s="20"/>
    </row>
    <row r="901" spans="4:18" ht="12.75" x14ac:dyDescent="0.2">
      <c r="D901" s="20"/>
      <c r="J901" s="20"/>
      <c r="P901" s="20"/>
      <c r="R901" s="20"/>
    </row>
    <row r="902" spans="4:18" ht="12.75" x14ac:dyDescent="0.2">
      <c r="D902" s="20"/>
      <c r="J902" s="20"/>
      <c r="P902" s="20"/>
      <c r="R902" s="20"/>
    </row>
    <row r="903" spans="4:18" ht="12.75" x14ac:dyDescent="0.2">
      <c r="D903" s="20"/>
      <c r="J903" s="20"/>
      <c r="P903" s="20"/>
      <c r="R903" s="20"/>
    </row>
    <row r="904" spans="4:18" ht="12.75" x14ac:dyDescent="0.2">
      <c r="D904" s="20"/>
      <c r="J904" s="20"/>
      <c r="P904" s="20"/>
      <c r="R904" s="20"/>
    </row>
    <row r="905" spans="4:18" ht="12.75" x14ac:dyDescent="0.2">
      <c r="D905" s="20"/>
      <c r="J905" s="20"/>
      <c r="P905" s="20"/>
      <c r="R905" s="20"/>
    </row>
    <row r="906" spans="4:18" ht="12.75" x14ac:dyDescent="0.2">
      <c r="D906" s="20"/>
      <c r="J906" s="20"/>
      <c r="P906" s="20"/>
      <c r="R906" s="20"/>
    </row>
    <row r="907" spans="4:18" ht="12.75" x14ac:dyDescent="0.2">
      <c r="D907" s="20"/>
      <c r="J907" s="20"/>
      <c r="P907" s="20"/>
      <c r="R907" s="20"/>
    </row>
    <row r="908" spans="4:18" ht="12.75" x14ac:dyDescent="0.2">
      <c r="D908" s="20"/>
      <c r="J908" s="20"/>
      <c r="P908" s="20"/>
      <c r="R908" s="20"/>
    </row>
    <row r="909" spans="4:18" ht="12.75" x14ac:dyDescent="0.2">
      <c r="D909" s="20"/>
      <c r="J909" s="20"/>
      <c r="P909" s="20"/>
      <c r="R909" s="20"/>
    </row>
    <row r="910" spans="4:18" ht="12.75" x14ac:dyDescent="0.2">
      <c r="D910" s="20"/>
      <c r="J910" s="20"/>
      <c r="P910" s="20"/>
      <c r="R910" s="20"/>
    </row>
    <row r="911" spans="4:18" ht="12.75" x14ac:dyDescent="0.2">
      <c r="D911" s="20"/>
      <c r="J911" s="20"/>
      <c r="P911" s="20"/>
      <c r="R911" s="20"/>
    </row>
    <row r="912" spans="4:18" ht="12.75" x14ac:dyDescent="0.2">
      <c r="D912" s="20"/>
      <c r="J912" s="20"/>
      <c r="P912" s="20"/>
      <c r="R912" s="20"/>
    </row>
    <row r="913" spans="4:18" ht="12.75" x14ac:dyDescent="0.2">
      <c r="D913" s="20"/>
      <c r="J913" s="20"/>
      <c r="P913" s="20"/>
      <c r="R913" s="20"/>
    </row>
    <row r="914" spans="4:18" ht="12.75" x14ac:dyDescent="0.2">
      <c r="D914" s="20"/>
      <c r="J914" s="20"/>
      <c r="P914" s="20"/>
      <c r="R914" s="20"/>
    </row>
    <row r="915" spans="4:18" ht="12.75" x14ac:dyDescent="0.2">
      <c r="D915" s="20"/>
      <c r="J915" s="20"/>
      <c r="P915" s="20"/>
      <c r="R915" s="20"/>
    </row>
    <row r="916" spans="4:18" ht="12.75" x14ac:dyDescent="0.2">
      <c r="D916" s="20"/>
      <c r="J916" s="20"/>
      <c r="P916" s="20"/>
      <c r="R916" s="20"/>
    </row>
    <row r="917" spans="4:18" ht="12.75" x14ac:dyDescent="0.2">
      <c r="D917" s="20"/>
      <c r="J917" s="20"/>
      <c r="P917" s="20"/>
      <c r="R917" s="20"/>
    </row>
    <row r="918" spans="4:18" ht="12.75" x14ac:dyDescent="0.2">
      <c r="D918" s="20"/>
      <c r="J918" s="20"/>
      <c r="P918" s="20"/>
      <c r="R918" s="20"/>
    </row>
    <row r="919" spans="4:18" ht="12.75" x14ac:dyDescent="0.2">
      <c r="D919" s="20"/>
      <c r="J919" s="20"/>
      <c r="P919" s="20"/>
      <c r="R919" s="20"/>
    </row>
    <row r="920" spans="4:18" ht="12.75" x14ac:dyDescent="0.2">
      <c r="D920" s="20"/>
      <c r="J920" s="20"/>
      <c r="P920" s="20"/>
      <c r="R920" s="20"/>
    </row>
    <row r="921" spans="4:18" ht="12.75" x14ac:dyDescent="0.2">
      <c r="D921" s="20"/>
      <c r="J921" s="20"/>
      <c r="P921" s="20"/>
      <c r="R921" s="20"/>
    </row>
    <row r="922" spans="4:18" ht="12.75" x14ac:dyDescent="0.2">
      <c r="D922" s="20"/>
      <c r="J922" s="20"/>
      <c r="P922" s="20"/>
      <c r="R922" s="20"/>
    </row>
    <row r="923" spans="4:18" ht="12.75" x14ac:dyDescent="0.2">
      <c r="D923" s="20"/>
      <c r="J923" s="20"/>
      <c r="P923" s="20"/>
      <c r="R923" s="20"/>
    </row>
    <row r="924" spans="4:18" ht="12.75" x14ac:dyDescent="0.2">
      <c r="D924" s="20"/>
      <c r="J924" s="20"/>
      <c r="P924" s="20"/>
      <c r="R924" s="20"/>
    </row>
    <row r="925" spans="4:18" ht="12.75" x14ac:dyDescent="0.2">
      <c r="D925" s="20"/>
      <c r="J925" s="20"/>
      <c r="P925" s="20"/>
      <c r="R925" s="20"/>
    </row>
    <row r="926" spans="4:18" ht="12.75" x14ac:dyDescent="0.2">
      <c r="D926" s="20"/>
      <c r="J926" s="20"/>
      <c r="P926" s="20"/>
      <c r="R926" s="20"/>
    </row>
    <row r="927" spans="4:18" ht="12.75" x14ac:dyDescent="0.2">
      <c r="D927" s="20"/>
      <c r="J927" s="20"/>
      <c r="P927" s="20"/>
      <c r="R927" s="20"/>
    </row>
    <row r="928" spans="4:18" ht="12.75" x14ac:dyDescent="0.2">
      <c r="D928" s="20"/>
      <c r="J928" s="20"/>
      <c r="P928" s="20"/>
      <c r="R928" s="20"/>
    </row>
    <row r="929" spans="4:18" ht="12.75" x14ac:dyDescent="0.2">
      <c r="D929" s="20"/>
      <c r="J929" s="20"/>
      <c r="P929" s="20"/>
      <c r="R929" s="20"/>
    </row>
    <row r="930" spans="4:18" ht="12.75" x14ac:dyDescent="0.2">
      <c r="D930" s="20"/>
      <c r="J930" s="20"/>
      <c r="P930" s="20"/>
      <c r="R930" s="20"/>
    </row>
    <row r="931" spans="4:18" ht="12.75" x14ac:dyDescent="0.2">
      <c r="D931" s="20"/>
      <c r="J931" s="20"/>
      <c r="P931" s="20"/>
      <c r="R931" s="20"/>
    </row>
    <row r="932" spans="4:18" ht="12.75" x14ac:dyDescent="0.2">
      <c r="D932" s="20"/>
      <c r="J932" s="20"/>
      <c r="P932" s="20"/>
      <c r="R932" s="20"/>
    </row>
    <row r="933" spans="4:18" ht="12.75" x14ac:dyDescent="0.2">
      <c r="D933" s="20"/>
      <c r="J933" s="20"/>
      <c r="P933" s="20"/>
      <c r="R933" s="20"/>
    </row>
    <row r="934" spans="4:18" ht="12.75" x14ac:dyDescent="0.2">
      <c r="D934" s="20"/>
      <c r="J934" s="20"/>
      <c r="P934" s="20"/>
      <c r="R934" s="20"/>
    </row>
    <row r="935" spans="4:18" ht="12.75" x14ac:dyDescent="0.2">
      <c r="D935" s="20"/>
      <c r="J935" s="20"/>
      <c r="P935" s="20"/>
      <c r="R935" s="20"/>
    </row>
    <row r="936" spans="4:18" ht="12.75" x14ac:dyDescent="0.2">
      <c r="D936" s="20"/>
      <c r="J936" s="20"/>
      <c r="P936" s="20"/>
      <c r="R936" s="20"/>
    </row>
    <row r="937" spans="4:18" ht="12.75" x14ac:dyDescent="0.2">
      <c r="D937" s="20"/>
      <c r="J937" s="20"/>
      <c r="P937" s="20"/>
      <c r="R937" s="20"/>
    </row>
    <row r="938" spans="4:18" ht="12.75" x14ac:dyDescent="0.2">
      <c r="D938" s="20"/>
      <c r="J938" s="20"/>
      <c r="P938" s="20"/>
      <c r="R938" s="20"/>
    </row>
    <row r="939" spans="4:18" ht="12.75" x14ac:dyDescent="0.2">
      <c r="D939" s="20"/>
      <c r="J939" s="20"/>
      <c r="P939" s="20"/>
      <c r="R939" s="20"/>
    </row>
    <row r="940" spans="4:18" ht="12.75" x14ac:dyDescent="0.2">
      <c r="D940" s="20"/>
      <c r="J940" s="20"/>
      <c r="P940" s="20"/>
      <c r="R940" s="20"/>
    </row>
    <row r="941" spans="4:18" ht="12.75" x14ac:dyDescent="0.2">
      <c r="D941" s="20"/>
      <c r="J941" s="20"/>
      <c r="P941" s="20"/>
      <c r="R941" s="20"/>
    </row>
    <row r="942" spans="4:18" ht="12.75" x14ac:dyDescent="0.2">
      <c r="D942" s="20"/>
      <c r="J942" s="20"/>
      <c r="P942" s="20"/>
      <c r="R942" s="20"/>
    </row>
    <row r="943" spans="4:18" ht="12.75" x14ac:dyDescent="0.2">
      <c r="D943" s="20"/>
      <c r="J943" s="20"/>
      <c r="P943" s="20"/>
      <c r="R943" s="20"/>
    </row>
    <row r="944" spans="4:18" ht="12.75" x14ac:dyDescent="0.2">
      <c r="D944" s="20"/>
      <c r="J944" s="20"/>
      <c r="P944" s="20"/>
      <c r="R944" s="20"/>
    </row>
    <row r="945" spans="4:18" ht="12.75" x14ac:dyDescent="0.2">
      <c r="D945" s="20"/>
      <c r="J945" s="20"/>
      <c r="P945" s="20"/>
      <c r="R945" s="20"/>
    </row>
    <row r="946" spans="4:18" ht="12.75" x14ac:dyDescent="0.2">
      <c r="D946" s="20"/>
      <c r="J946" s="20"/>
      <c r="P946" s="20"/>
      <c r="R946" s="20"/>
    </row>
    <row r="947" spans="4:18" ht="12.75" x14ac:dyDescent="0.2">
      <c r="D947" s="20"/>
      <c r="J947" s="20"/>
      <c r="P947" s="20"/>
      <c r="R947" s="20"/>
    </row>
    <row r="948" spans="4:18" ht="12.75" x14ac:dyDescent="0.2">
      <c r="D948" s="20"/>
      <c r="J948" s="20"/>
      <c r="P948" s="20"/>
      <c r="R948" s="20"/>
    </row>
    <row r="949" spans="4:18" ht="12.75" x14ac:dyDescent="0.2">
      <c r="D949" s="20"/>
      <c r="J949" s="20"/>
      <c r="P949" s="20"/>
      <c r="R949" s="20"/>
    </row>
    <row r="950" spans="4:18" ht="12.75" x14ac:dyDescent="0.2">
      <c r="D950" s="20"/>
      <c r="J950" s="20"/>
      <c r="P950" s="20"/>
      <c r="R950" s="20"/>
    </row>
    <row r="951" spans="4:18" ht="12.75" x14ac:dyDescent="0.2">
      <c r="D951" s="20"/>
      <c r="J951" s="20"/>
      <c r="P951" s="20"/>
      <c r="R951" s="20"/>
    </row>
    <row r="952" spans="4:18" ht="12.75" x14ac:dyDescent="0.2">
      <c r="D952" s="20"/>
      <c r="J952" s="20"/>
      <c r="P952" s="20"/>
      <c r="R952" s="20"/>
    </row>
    <row r="953" spans="4:18" ht="12.75" x14ac:dyDescent="0.2">
      <c r="D953" s="20"/>
      <c r="J953" s="20"/>
      <c r="P953" s="20"/>
      <c r="R953" s="20"/>
    </row>
    <row r="954" spans="4:18" ht="12.75" x14ac:dyDescent="0.2">
      <c r="D954" s="20"/>
      <c r="J954" s="20"/>
      <c r="P954" s="20"/>
      <c r="R954" s="20"/>
    </row>
    <row r="955" spans="4:18" ht="12.75" x14ac:dyDescent="0.2">
      <c r="D955" s="20"/>
      <c r="J955" s="20"/>
      <c r="P955" s="20"/>
      <c r="R955" s="20"/>
    </row>
    <row r="956" spans="4:18" ht="12.75" x14ac:dyDescent="0.2">
      <c r="D956" s="20"/>
      <c r="J956" s="20"/>
      <c r="P956" s="20"/>
      <c r="R956" s="20"/>
    </row>
    <row r="957" spans="4:18" ht="12.75" x14ac:dyDescent="0.2">
      <c r="D957" s="20"/>
      <c r="J957" s="20"/>
      <c r="P957" s="20"/>
      <c r="R957" s="20"/>
    </row>
    <row r="958" spans="4:18" ht="12.75" x14ac:dyDescent="0.2">
      <c r="D958" s="20"/>
      <c r="J958" s="20"/>
      <c r="P958" s="20"/>
      <c r="R958" s="20"/>
    </row>
    <row r="959" spans="4:18" ht="12.75" x14ac:dyDescent="0.2">
      <c r="D959" s="20"/>
      <c r="J959" s="20"/>
      <c r="P959" s="20"/>
      <c r="R959" s="20"/>
    </row>
    <row r="960" spans="4:18" ht="12.75" x14ac:dyDescent="0.2">
      <c r="D960" s="20"/>
      <c r="J960" s="20"/>
      <c r="P960" s="20"/>
      <c r="R960" s="20"/>
    </row>
    <row r="961" spans="4:18" ht="12.75" x14ac:dyDescent="0.2">
      <c r="D961" s="20"/>
      <c r="J961" s="20"/>
      <c r="P961" s="20"/>
      <c r="R961" s="20"/>
    </row>
    <row r="962" spans="4:18" ht="12.75" x14ac:dyDescent="0.2">
      <c r="D962" s="20"/>
      <c r="J962" s="20"/>
      <c r="P962" s="20"/>
      <c r="R962" s="20"/>
    </row>
    <row r="963" spans="4:18" ht="12.75" x14ac:dyDescent="0.2">
      <c r="D963" s="20"/>
      <c r="J963" s="20"/>
      <c r="P963" s="20"/>
      <c r="R963" s="20"/>
    </row>
    <row r="964" spans="4:18" ht="12.75" x14ac:dyDescent="0.2">
      <c r="D964" s="20"/>
      <c r="J964" s="20"/>
      <c r="P964" s="20"/>
      <c r="R964" s="20"/>
    </row>
    <row r="965" spans="4:18" ht="12.75" x14ac:dyDescent="0.2">
      <c r="D965" s="20"/>
      <c r="J965" s="20"/>
      <c r="P965" s="20"/>
      <c r="R965" s="20"/>
    </row>
    <row r="966" spans="4:18" ht="12.75" x14ac:dyDescent="0.2">
      <c r="D966" s="20"/>
      <c r="J966" s="20"/>
      <c r="P966" s="20"/>
      <c r="R966" s="20"/>
    </row>
    <row r="967" spans="4:18" ht="12.75" x14ac:dyDescent="0.2">
      <c r="D967" s="20"/>
      <c r="J967" s="20"/>
      <c r="P967" s="20"/>
      <c r="R967" s="20"/>
    </row>
    <row r="968" spans="4:18" ht="12.75" x14ac:dyDescent="0.2">
      <c r="D968" s="20"/>
      <c r="J968" s="20"/>
      <c r="P968" s="20"/>
      <c r="R968" s="20"/>
    </row>
    <row r="969" spans="4:18" ht="12.75" x14ac:dyDescent="0.2">
      <c r="D969" s="20"/>
      <c r="J969" s="20"/>
      <c r="P969" s="20"/>
      <c r="R969" s="20"/>
    </row>
    <row r="970" spans="4:18" ht="12.75" x14ac:dyDescent="0.2">
      <c r="D970" s="20"/>
      <c r="J970" s="20"/>
      <c r="P970" s="20"/>
      <c r="R970" s="20"/>
    </row>
    <row r="971" spans="4:18" ht="12.75" x14ac:dyDescent="0.2">
      <c r="D971" s="20"/>
      <c r="J971" s="20"/>
      <c r="P971" s="20"/>
      <c r="R971" s="20"/>
    </row>
    <row r="972" spans="4:18" ht="12.75" x14ac:dyDescent="0.2">
      <c r="D972" s="20"/>
      <c r="J972" s="20"/>
      <c r="P972" s="20"/>
      <c r="R972" s="20"/>
    </row>
    <row r="973" spans="4:18" ht="12.75" x14ac:dyDescent="0.2">
      <c r="D973" s="20"/>
      <c r="J973" s="20"/>
      <c r="P973" s="20"/>
      <c r="R973" s="20"/>
    </row>
    <row r="974" spans="4:18" ht="12.75" x14ac:dyDescent="0.2">
      <c r="D974" s="20"/>
      <c r="J974" s="20"/>
      <c r="P974" s="20"/>
      <c r="R974" s="20"/>
    </row>
    <row r="975" spans="4:18" ht="12.75" x14ac:dyDescent="0.2">
      <c r="D975" s="20"/>
      <c r="J975" s="20"/>
      <c r="P975" s="20"/>
      <c r="R975" s="20"/>
    </row>
    <row r="976" spans="4:18" ht="12.75" x14ac:dyDescent="0.2">
      <c r="D976" s="20"/>
      <c r="J976" s="20"/>
      <c r="P976" s="20"/>
      <c r="R976" s="20"/>
    </row>
    <row r="977" spans="4:18" ht="12.75" x14ac:dyDescent="0.2">
      <c r="D977" s="20"/>
      <c r="J977" s="20"/>
      <c r="P977" s="20"/>
      <c r="R977" s="20"/>
    </row>
    <row r="978" spans="4:18" ht="12.75" x14ac:dyDescent="0.2">
      <c r="D978" s="20"/>
      <c r="J978" s="20"/>
      <c r="P978" s="20"/>
      <c r="R978" s="20"/>
    </row>
    <row r="979" spans="4:18" ht="12.75" x14ac:dyDescent="0.2">
      <c r="D979" s="20"/>
      <c r="J979" s="20"/>
      <c r="P979" s="20"/>
      <c r="R979" s="20"/>
    </row>
    <row r="980" spans="4:18" ht="12.75" x14ac:dyDescent="0.2">
      <c r="D980" s="20"/>
      <c r="J980" s="20"/>
      <c r="P980" s="20"/>
      <c r="R980" s="20"/>
    </row>
    <row r="981" spans="4:18" ht="12.75" x14ac:dyDescent="0.2">
      <c r="D981" s="20"/>
      <c r="J981" s="20"/>
      <c r="P981" s="20"/>
      <c r="R981" s="20"/>
    </row>
    <row r="982" spans="4:18" ht="12.75" x14ac:dyDescent="0.2">
      <c r="D982" s="20"/>
      <c r="J982" s="20"/>
      <c r="P982" s="20"/>
      <c r="R982" s="20"/>
    </row>
    <row r="983" spans="4:18" ht="12.75" x14ac:dyDescent="0.2">
      <c r="D983" s="20"/>
      <c r="J983" s="20"/>
      <c r="P983" s="20"/>
      <c r="R983" s="20"/>
    </row>
    <row r="984" spans="4:18" ht="12.75" x14ac:dyDescent="0.2">
      <c r="D984" s="20"/>
      <c r="J984" s="20"/>
      <c r="P984" s="20"/>
      <c r="R984" s="20"/>
    </row>
    <row r="985" spans="4:18" ht="12.75" x14ac:dyDescent="0.2">
      <c r="D985" s="20"/>
      <c r="J985" s="20"/>
      <c r="P985" s="20"/>
      <c r="R985" s="20"/>
    </row>
    <row r="986" spans="4:18" ht="12.75" x14ac:dyDescent="0.2">
      <c r="D986" s="20"/>
      <c r="J986" s="20"/>
      <c r="P986" s="20"/>
      <c r="R986" s="20"/>
    </row>
    <row r="987" spans="4:18" ht="12.75" x14ac:dyDescent="0.2">
      <c r="D987" s="20"/>
      <c r="J987" s="20"/>
      <c r="P987" s="20"/>
      <c r="R987" s="20"/>
    </row>
    <row r="988" spans="4:18" ht="12.75" x14ac:dyDescent="0.2">
      <c r="D988" s="20"/>
      <c r="J988" s="20"/>
      <c r="P988" s="20"/>
      <c r="R988" s="20"/>
    </row>
    <row r="989" spans="4:18" ht="12.75" x14ac:dyDescent="0.2">
      <c r="D989" s="20"/>
      <c r="J989" s="20"/>
      <c r="P989" s="20"/>
      <c r="R989" s="20"/>
    </row>
    <row r="990" spans="4:18" ht="12.75" x14ac:dyDescent="0.2">
      <c r="D990" s="20"/>
      <c r="J990" s="20"/>
      <c r="P990" s="20"/>
      <c r="R990" s="20"/>
    </row>
    <row r="991" spans="4:18" ht="12.75" x14ac:dyDescent="0.2">
      <c r="D991" s="20"/>
      <c r="J991" s="20"/>
      <c r="P991" s="20"/>
      <c r="R991" s="20"/>
    </row>
    <row r="992" spans="4:18" ht="12.75" x14ac:dyDescent="0.2">
      <c r="D992" s="20"/>
      <c r="J992" s="20"/>
      <c r="P992" s="20"/>
      <c r="R992" s="20"/>
    </row>
    <row r="993" spans="4:18" ht="12.75" x14ac:dyDescent="0.2">
      <c r="D993" s="20"/>
      <c r="J993" s="20"/>
      <c r="P993" s="20"/>
      <c r="R993" s="20"/>
    </row>
    <row r="994" spans="4:18" ht="12.75" x14ac:dyDescent="0.2">
      <c r="D994" s="20"/>
      <c r="J994" s="20"/>
      <c r="P994" s="20"/>
      <c r="R994" s="20"/>
    </row>
    <row r="995" spans="4:18" ht="12.75" x14ac:dyDescent="0.2">
      <c r="D995" s="20"/>
      <c r="J995" s="20"/>
      <c r="P995" s="20"/>
      <c r="R995" s="20"/>
    </row>
    <row r="996" spans="4:18" ht="12.75" x14ac:dyDescent="0.2">
      <c r="D996" s="20"/>
      <c r="J996" s="20"/>
      <c r="P996" s="20"/>
      <c r="R996" s="20"/>
    </row>
    <row r="997" spans="4:18" ht="12.75" x14ac:dyDescent="0.2">
      <c r="D997" s="20"/>
      <c r="J997" s="20"/>
      <c r="P997" s="20"/>
      <c r="R997" s="20"/>
    </row>
    <row r="998" spans="4:18" ht="12.75" x14ac:dyDescent="0.2">
      <c r="D998" s="20"/>
      <c r="J998" s="20"/>
      <c r="P998" s="20"/>
      <c r="R998" s="20"/>
    </row>
    <row r="999" spans="4:18" ht="12.75" x14ac:dyDescent="0.2">
      <c r="D999" s="20"/>
      <c r="J999" s="20"/>
      <c r="P999" s="20"/>
      <c r="R999" s="20"/>
    </row>
    <row r="1000" spans="4:18" ht="12.75" x14ac:dyDescent="0.2">
      <c r="D1000" s="20"/>
      <c r="J1000" s="20"/>
      <c r="P1000" s="20"/>
      <c r="R1000" s="20"/>
    </row>
    <row r="1001" spans="4:18" ht="12.75" x14ac:dyDescent="0.2">
      <c r="D1001" s="20"/>
      <c r="J1001" s="20"/>
      <c r="P1001" s="20"/>
      <c r="R1001" s="20"/>
    </row>
    <row r="1002" spans="4:18" ht="12.75" x14ac:dyDescent="0.2">
      <c r="D1002" s="20"/>
      <c r="J1002" s="20"/>
      <c r="P1002" s="20"/>
      <c r="R1002" s="20"/>
    </row>
    <row r="1003" spans="4:18" ht="12.75" x14ac:dyDescent="0.2">
      <c r="D1003" s="20"/>
      <c r="J1003" s="20"/>
      <c r="P1003" s="20"/>
      <c r="R1003" s="20"/>
    </row>
    <row r="1004" spans="4:18" ht="12.75" x14ac:dyDescent="0.2">
      <c r="D1004" s="20"/>
      <c r="J1004" s="20"/>
      <c r="P1004" s="20"/>
      <c r="R1004" s="20"/>
    </row>
    <row r="1005" spans="4:18" ht="12.75" x14ac:dyDescent="0.2">
      <c r="D1005" s="20"/>
      <c r="J1005" s="20"/>
      <c r="P1005" s="20"/>
      <c r="R1005" s="20"/>
    </row>
    <row r="1006" spans="4:18" ht="12.75" x14ac:dyDescent="0.2">
      <c r="D1006" s="20"/>
      <c r="J1006" s="20"/>
      <c r="P1006" s="20"/>
      <c r="R1006" s="20"/>
    </row>
    <row r="1007" spans="4:18" ht="12.75" x14ac:dyDescent="0.2">
      <c r="D1007" s="20"/>
      <c r="J1007" s="20"/>
      <c r="P1007" s="20"/>
      <c r="R1007" s="20"/>
    </row>
    <row r="1008" spans="4:18" ht="12.75" x14ac:dyDescent="0.2">
      <c r="D1008" s="20"/>
      <c r="J1008" s="20"/>
      <c r="P1008" s="20"/>
      <c r="R1008" s="20"/>
    </row>
    <row r="1009" spans="4:18" ht="12.75" x14ac:dyDescent="0.2">
      <c r="D1009" s="20"/>
      <c r="J1009" s="20"/>
      <c r="P1009" s="20"/>
      <c r="R1009" s="20"/>
    </row>
    <row r="1010" spans="4:18" ht="12.75" x14ac:dyDescent="0.2">
      <c r="D1010" s="20"/>
      <c r="J1010" s="20"/>
      <c r="P1010" s="20"/>
      <c r="R1010" s="20"/>
    </row>
    <row r="1011" spans="4:18" ht="12.75" x14ac:dyDescent="0.2">
      <c r="D1011" s="20"/>
      <c r="J1011" s="20"/>
      <c r="P1011" s="20"/>
      <c r="R1011" s="20"/>
    </row>
    <row r="1012" spans="4:18" ht="12.75" x14ac:dyDescent="0.2">
      <c r="D1012" s="20"/>
      <c r="J1012" s="20"/>
      <c r="P1012" s="20"/>
      <c r="R1012" s="20"/>
    </row>
    <row r="1013" spans="4:18" ht="12.75" x14ac:dyDescent="0.2">
      <c r="D1013" s="20"/>
      <c r="J1013" s="20"/>
      <c r="P1013" s="20"/>
      <c r="R1013" s="20"/>
    </row>
    <row r="1014" spans="4:18" ht="12.75" x14ac:dyDescent="0.2">
      <c r="D1014" s="20"/>
      <c r="J1014" s="20"/>
      <c r="P1014" s="20"/>
      <c r="R1014" s="20"/>
    </row>
    <row r="1015" spans="4:18" ht="12.75" x14ac:dyDescent="0.2">
      <c r="D1015" s="20"/>
      <c r="J1015" s="20"/>
      <c r="P1015" s="20"/>
      <c r="R1015" s="20"/>
    </row>
    <row r="1016" spans="4:18" ht="12.75" x14ac:dyDescent="0.2">
      <c r="D1016" s="20"/>
      <c r="J1016" s="20"/>
      <c r="P1016" s="20"/>
      <c r="R1016" s="20"/>
    </row>
    <row r="1017" spans="4:18" ht="12.75" x14ac:dyDescent="0.2">
      <c r="D1017" s="20"/>
      <c r="J1017" s="20"/>
      <c r="P1017" s="20"/>
      <c r="R1017" s="20"/>
    </row>
    <row r="1018" spans="4:18" ht="12.75" x14ac:dyDescent="0.2">
      <c r="D1018" s="20"/>
      <c r="J1018" s="20"/>
      <c r="P1018" s="20"/>
      <c r="R1018" s="20"/>
    </row>
    <row r="1019" spans="4:18" ht="12.75" x14ac:dyDescent="0.2">
      <c r="D1019" s="20"/>
      <c r="J1019" s="20"/>
      <c r="P1019" s="20"/>
      <c r="R1019" s="20"/>
    </row>
    <row r="1020" spans="4:18" ht="12.75" x14ac:dyDescent="0.2">
      <c r="D1020" s="20"/>
      <c r="J1020" s="20"/>
      <c r="P1020" s="20"/>
      <c r="R1020" s="20"/>
    </row>
    <row r="1021" spans="4:18" ht="12.75" x14ac:dyDescent="0.2">
      <c r="D1021" s="20"/>
      <c r="J1021" s="20"/>
      <c r="P1021" s="20"/>
      <c r="R1021" s="20"/>
    </row>
    <row r="1022" spans="4:18" ht="12.75" x14ac:dyDescent="0.2">
      <c r="D1022" s="20"/>
      <c r="J1022" s="20"/>
      <c r="P1022" s="20"/>
      <c r="R1022" s="20"/>
    </row>
  </sheetData>
  <conditionalFormatting sqref="P3:P105">
    <cfRule type="cellIs" dxfId="22" priority="1" operator="lessThanOrEqual">
      <formula>"79%"</formula>
    </cfRule>
  </conditionalFormatting>
  <conditionalFormatting sqref="P3:P105">
    <cfRule type="cellIs" dxfId="21" priority="2" operator="greaterThanOrEqual">
      <formula>"80%"</formula>
    </cfRule>
  </conditionalFormatting>
  <dataValidations count="7">
    <dataValidation type="list" allowBlank="1" sqref="R3:R62" xr:uid="{00000000-0002-0000-0500-000000000000}">
      <formula1>"MAÑANA,TARDE,NOCHE"</formula1>
    </dataValidation>
    <dataValidation type="list" allowBlank="1" sqref="D3:D62" xr:uid="{00000000-0002-0000-0500-000001000000}">
      <formula1>"PRESENCIAL,VIRTUAL"</formula1>
    </dataValidation>
    <dataValidation type="list" allowBlank="1" sqref="B3:B62" xr:uid="{00000000-0002-0000-0500-000002000000}">
      <formula1>"REGULAR,INTENSIVO,SUPER INTENSIVO"</formula1>
    </dataValidation>
    <dataValidation type="list" allowBlank="1" sqref="J3:J62" xr:uid="{00000000-0002-0000-0500-000003000000}">
      <formula1>"SI,NO"</formula1>
    </dataValidation>
    <dataValidation type="list" allowBlank="1" sqref="A3:A62" xr:uid="{00000000-0002-0000-0500-000004000000}">
      <formula1>"2026 I: ABR"</formula1>
    </dataValidation>
    <dataValidation type="list" allowBlank="1" sqref="C3:C62" xr:uid="{00000000-0002-0000-0500-000005000000}">
      <formula1>"TRADICIONAL,PROTECH XP"</formula1>
    </dataValidation>
    <dataValidation type="custom" allowBlank="1" showDropDown="1" sqref="H3:H62 P3:P62" xr:uid="{00000000-0002-0000-0500-000006000000}">
      <formula1>AND(ISNUMBER(H3),(NOT(OR(NOT(ISERROR(DATEVALUE(H3))), AND(ISNUMBER(H3), LEFT(CELL("format", H3))="D")))))</formula1>
    </dataValidation>
  </dataValidations>
  <hyperlinks>
    <hyperlink ref="G3" r:id="rId1" xr:uid="{00000000-0004-0000-0500-000000000000}"/>
    <hyperlink ref="G4" r:id="rId2" xr:uid="{00000000-0004-0000-0500-000001000000}"/>
    <hyperlink ref="G6" r:id="rId3" xr:uid="{00000000-0004-0000-0500-000002000000}"/>
    <hyperlink ref="G7" r:id="rId4" xr:uid="{00000000-0004-0000-0500-000003000000}"/>
    <hyperlink ref="G8" r:id="rId5" xr:uid="{00000000-0004-0000-0500-000004000000}"/>
    <hyperlink ref="G9" r:id="rId6" xr:uid="{00000000-0004-0000-0500-000005000000}"/>
    <hyperlink ref="G11" r:id="rId7" xr:uid="{00000000-0004-0000-0500-000006000000}"/>
    <hyperlink ref="G12" r:id="rId8" xr:uid="{00000000-0004-0000-0500-000007000000}"/>
    <hyperlink ref="G13" r:id="rId9" xr:uid="{00000000-0004-0000-0500-000008000000}"/>
    <hyperlink ref="G15" r:id="rId10" xr:uid="{00000000-0004-0000-0500-000009000000}"/>
    <hyperlink ref="G16" r:id="rId11" xr:uid="{00000000-0004-0000-0500-00000A000000}"/>
    <hyperlink ref="G17" r:id="rId12" xr:uid="{00000000-0004-0000-0500-00000B000000}"/>
    <hyperlink ref="G18" r:id="rId13" xr:uid="{00000000-0004-0000-0500-00000C000000}"/>
    <hyperlink ref="G19" r:id="rId14" xr:uid="{00000000-0004-0000-0500-00000D000000}"/>
    <hyperlink ref="G20" r:id="rId15" xr:uid="{00000000-0004-0000-0500-00000E000000}"/>
    <hyperlink ref="G21" r:id="rId16" xr:uid="{00000000-0004-0000-0500-00000F000000}"/>
    <hyperlink ref="G22" r:id="rId17" xr:uid="{00000000-0004-0000-0500-000010000000}"/>
    <hyperlink ref="G23" r:id="rId18" xr:uid="{00000000-0004-0000-0500-000011000000}"/>
    <hyperlink ref="G24" r:id="rId19" xr:uid="{00000000-0004-0000-0500-000012000000}"/>
    <hyperlink ref="G25" r:id="rId20" xr:uid="{00000000-0004-0000-0500-000013000000}"/>
    <hyperlink ref="G26" r:id="rId21" xr:uid="{00000000-0004-0000-0500-000014000000}"/>
    <hyperlink ref="G28" r:id="rId22" xr:uid="{00000000-0004-0000-0500-000015000000}"/>
    <hyperlink ref="G29" r:id="rId23" xr:uid="{00000000-0004-0000-0500-000016000000}"/>
    <hyperlink ref="G30" r:id="rId24" xr:uid="{00000000-0004-0000-0500-000017000000}"/>
    <hyperlink ref="G31" r:id="rId25" xr:uid="{00000000-0004-0000-0500-000018000000}"/>
    <hyperlink ref="G32" r:id="rId26" xr:uid="{00000000-0004-0000-0500-000019000000}"/>
    <hyperlink ref="G33" r:id="rId27" xr:uid="{00000000-0004-0000-0500-00001A000000}"/>
    <hyperlink ref="G34" r:id="rId28" xr:uid="{00000000-0004-0000-0500-00001B000000}"/>
    <hyperlink ref="G36" r:id="rId29" xr:uid="{00000000-0004-0000-0500-00001C000000}"/>
    <hyperlink ref="G37" r:id="rId30" xr:uid="{00000000-0004-0000-0500-00001D000000}"/>
    <hyperlink ref="G38" r:id="rId31" xr:uid="{00000000-0004-0000-0500-00001E000000}"/>
    <hyperlink ref="G39" r:id="rId32" xr:uid="{00000000-0004-0000-0500-00001F000000}"/>
    <hyperlink ref="G40" r:id="rId33" xr:uid="{00000000-0004-0000-0500-000020000000}"/>
    <hyperlink ref="G41" r:id="rId34" xr:uid="{00000000-0004-0000-0500-000021000000}"/>
    <hyperlink ref="G42" r:id="rId35" xr:uid="{00000000-0004-0000-0500-000022000000}"/>
    <hyperlink ref="G43" r:id="rId36" xr:uid="{00000000-0004-0000-0500-000023000000}"/>
    <hyperlink ref="G44" r:id="rId37" xr:uid="{00000000-0004-0000-0500-000024000000}"/>
    <hyperlink ref="G46" r:id="rId38" xr:uid="{00000000-0004-0000-0500-000025000000}"/>
    <hyperlink ref="G47" r:id="rId39" xr:uid="{00000000-0004-0000-0500-000026000000}"/>
    <hyperlink ref="G48" r:id="rId40" xr:uid="{00000000-0004-0000-0500-000027000000}"/>
    <hyperlink ref="G50" r:id="rId41" xr:uid="{00000000-0004-0000-0500-000028000000}"/>
    <hyperlink ref="G52" r:id="rId42" xr:uid="{00000000-0004-0000-0500-000029000000}"/>
    <hyperlink ref="G54" r:id="rId43" xr:uid="{00000000-0004-0000-0500-00002A000000}"/>
    <hyperlink ref="G56" r:id="rId44" xr:uid="{00000000-0004-0000-0500-00002B000000}"/>
    <hyperlink ref="G58" r:id="rId45" xr:uid="{00000000-0004-0000-0500-00002C000000}"/>
    <hyperlink ref="G59" r:id="rId46" xr:uid="{00000000-0004-0000-0500-00002D000000}"/>
    <hyperlink ref="G60" r:id="rId47" xr:uid="{00000000-0004-0000-0500-00002E000000}"/>
    <hyperlink ref="G62" r:id="rId48" xr:uid="{00000000-0004-0000-0500-00002F000000}"/>
  </hyperlinks>
  <pageMargins left="0.7" right="0.7" top="0.75" bottom="0.75" header="0.3" footer="0.3"/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MONITOREO ABR26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AMURO</cp:lastModifiedBy>
  <dcterms:modified xsi:type="dcterms:W3CDTF">2026-04-21T15:10:30Z</dcterms:modified>
</cp:coreProperties>
</file>